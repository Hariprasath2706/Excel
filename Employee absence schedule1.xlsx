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755" tabRatio="686" firstSheet="1" activeTab="1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r:id="rId12"/>
    <sheet name="Employee Names" sheetId="16" r:id="rId13"/>
  </sheets>
  <definedNames>
    <definedName name="CalendarYear">January!$AH$4</definedName>
    <definedName name="ColumnTitle13">EmployeeName[[#Headers],[Employee Names]]</definedName>
    <definedName name="Employee_Absence_Title">January!$B$1</definedName>
    <definedName name="Key_name">January!$B$2</definedName>
    <definedName name="KeyCustom1">January!$N$2</definedName>
    <definedName name="KeyCustom1Label">January!$O$2</definedName>
    <definedName name="KeyCustom2">January!$R$2</definedName>
    <definedName name="KeyCustom2Label">January!$S$2</definedName>
    <definedName name="KeyPersonal">January!$G$2</definedName>
    <definedName name="KeyPersonalLabel">January!$H$2</definedName>
    <definedName name="KeySick">January!$K$2</definedName>
    <definedName name="KeySickLabel">January!$L$2</definedName>
    <definedName name="KeyVacation">January!$C$2</definedName>
    <definedName name="KeyVacationLabel">January!$D$2</definedName>
    <definedName name="MonthName" localSheetId="3">April!$B$4</definedName>
    <definedName name="MonthName" localSheetId="7">August!$B$4</definedName>
    <definedName name="MonthName" localSheetId="11">December!$B$4</definedName>
    <definedName name="MonthName" localSheetId="1">February!$B$4</definedName>
    <definedName name="MonthName" localSheetId="0">January!$B$4</definedName>
    <definedName name="MonthName" localSheetId="6">July!$B$4</definedName>
    <definedName name="MonthName" localSheetId="5">June!$B$4</definedName>
    <definedName name="MonthName" localSheetId="2">March!$B$4</definedName>
    <definedName name="MonthName" localSheetId="4">May!$B$4</definedName>
    <definedName name="MonthName" localSheetId="10">November!$B$4</definedName>
    <definedName name="MonthName" localSheetId="9">October!$B$4</definedName>
    <definedName name="MonthName" localSheetId="8">September!$B$4</definedName>
    <definedName name="_xlnm.Print_Titles" localSheetId="3">April!$4:$6</definedName>
    <definedName name="_xlnm.Print_Titles" localSheetId="7">August!$4:$6</definedName>
    <definedName name="_xlnm.Print_Titles" localSheetId="11">December!$4:$6</definedName>
    <definedName name="_xlnm.Print_Titles" localSheetId="1">February!$4:$6</definedName>
    <definedName name="_xlnm.Print_Titles" localSheetId="0">January!$4:$6</definedName>
    <definedName name="_xlnm.Print_Titles" localSheetId="6">July!$4:$6</definedName>
    <definedName name="_xlnm.Print_Titles" localSheetId="5">June!$4:$6</definedName>
    <definedName name="_xlnm.Print_Titles" localSheetId="2">March!$4:$6</definedName>
    <definedName name="_xlnm.Print_Titles" localSheetId="4">May!$4:$6</definedName>
    <definedName name="_xlnm.Print_Titles" localSheetId="10">November!$4:$6</definedName>
    <definedName name="_xlnm.Print_Titles" localSheetId="9">October!$4:$6</definedName>
    <definedName name="_xlnm.Print_Titles" localSheetId="8">September!$4:$6</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April[[#Headers],[Employee Name]]</definedName>
    <definedName name="Title5">May[[#Headers],[Employee Name]]</definedName>
    <definedName name="Title6">June[[#Headers],[Employee Name]]</definedName>
    <definedName name="Title7">July[[#Headers],[Employee Name]]</definedName>
    <definedName name="Title8">August[[#Headers],[Employee Name]]</definedName>
    <definedName name="Title9">September[[#Headers],[Employee Name]]</definedName>
  </definedNames>
  <calcPr calcId="152511"/>
</workbook>
</file>

<file path=xl/calcChain.xml><?xml version="1.0" encoding="utf-8"?>
<calcChain xmlns="http://schemas.openxmlformats.org/spreadsheetml/2006/main">
  <c r="AH9" i="4" l="1"/>
  <c r="AH10" i="4"/>
  <c r="B12" i="23" l="1"/>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12" i="25"/>
  <c r="C12" i="25"/>
  <c r="B12" i="25"/>
  <c r="AH11" i="25"/>
  <c r="AH10" i="25"/>
  <c r="AH9" i="25"/>
  <c r="AH8" i="25"/>
  <c r="AH7" i="25"/>
  <c r="B1" i="25"/>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AG12" i="24"/>
  <c r="AF12" i="24"/>
  <c r="AE12" i="24"/>
  <c r="AD12" i="24"/>
  <c r="AC12" i="24"/>
  <c r="AB12" i="24"/>
  <c r="AA12" i="24"/>
  <c r="Z12" i="24"/>
  <c r="Y12" i="24"/>
  <c r="X12" i="24"/>
  <c r="W12" i="24"/>
  <c r="V12" i="24"/>
  <c r="U12" i="24"/>
  <c r="T12" i="24"/>
  <c r="S12" i="24"/>
  <c r="R12" i="24"/>
  <c r="Q12" i="24"/>
  <c r="P12" i="24"/>
  <c r="O12" i="24"/>
  <c r="N12" i="24"/>
  <c r="M12" i="24"/>
  <c r="L12" i="24"/>
  <c r="K12" i="24"/>
  <c r="J12" i="24"/>
  <c r="I12" i="24"/>
  <c r="H12" i="24"/>
  <c r="G12" i="24"/>
  <c r="F12" i="24"/>
  <c r="E12" i="24"/>
  <c r="D12" i="24"/>
  <c r="C12" i="24"/>
  <c r="B12" i="24"/>
  <c r="AH11" i="24"/>
  <c r="AH10" i="24"/>
  <c r="AH9" i="24"/>
  <c r="AH8" i="24"/>
  <c r="AH7" i="24"/>
  <c r="AH4" i="24"/>
  <c r="B1" i="24"/>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AG12" i="23"/>
  <c r="AF12" i="23"/>
  <c r="AE12" i="23"/>
  <c r="AD12" i="23"/>
  <c r="AC12" i="23"/>
  <c r="AB12" i="23"/>
  <c r="AA12" i="23"/>
  <c r="Z12" i="23"/>
  <c r="Y12" i="23"/>
  <c r="X12" i="23"/>
  <c r="W12" i="23"/>
  <c r="V12" i="23"/>
  <c r="U12" i="23"/>
  <c r="T12" i="23"/>
  <c r="S12" i="23"/>
  <c r="R12" i="23"/>
  <c r="Q12" i="23"/>
  <c r="P12" i="23"/>
  <c r="O12" i="23"/>
  <c r="N12" i="23"/>
  <c r="M12" i="23"/>
  <c r="L12" i="23"/>
  <c r="K12" i="23"/>
  <c r="J12" i="23"/>
  <c r="I12" i="23"/>
  <c r="H12" i="23"/>
  <c r="G12" i="23"/>
  <c r="F12" i="23"/>
  <c r="E12" i="23"/>
  <c r="D12" i="23"/>
  <c r="C12" i="23"/>
  <c r="AH11" i="23"/>
  <c r="AH10" i="23"/>
  <c r="AH9" i="23"/>
  <c r="AH8" i="23"/>
  <c r="AH7" i="23"/>
  <c r="AH4" i="23"/>
  <c r="B1" i="23"/>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H11" i="22"/>
  <c r="AH10" i="22"/>
  <c r="AH9" i="22"/>
  <c r="AH8" i="22"/>
  <c r="AH7" i="22"/>
  <c r="AH4" i="22"/>
  <c r="B1" i="22"/>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H11" i="21"/>
  <c r="AH10" i="21"/>
  <c r="AH9" i="21"/>
  <c r="AH8" i="21"/>
  <c r="AH7" i="21"/>
  <c r="AH4" i="21"/>
  <c r="B1" i="21"/>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G12" i="20"/>
  <c r="AF12" i="20"/>
  <c r="AE12" i="20"/>
  <c r="AD12" i="20"/>
  <c r="AC12" i="20"/>
  <c r="AB12" i="20"/>
  <c r="AA12" i="20"/>
  <c r="Z12" i="20"/>
  <c r="Y12" i="20"/>
  <c r="X12" i="20"/>
  <c r="W12" i="20"/>
  <c r="V12" i="20"/>
  <c r="U12" i="20"/>
  <c r="T12" i="20"/>
  <c r="S12" i="20"/>
  <c r="R12" i="20"/>
  <c r="Q12" i="20"/>
  <c r="P12" i="20"/>
  <c r="O12" i="20"/>
  <c r="N12" i="20"/>
  <c r="M12" i="20"/>
  <c r="L12" i="20"/>
  <c r="K12" i="20"/>
  <c r="J12" i="20"/>
  <c r="I12" i="20"/>
  <c r="H12" i="20"/>
  <c r="G12" i="20"/>
  <c r="F12" i="20"/>
  <c r="E12" i="20"/>
  <c r="D12" i="20"/>
  <c r="C12" i="20"/>
  <c r="B12" i="20"/>
  <c r="AH11" i="20"/>
  <c r="AH10" i="20"/>
  <c r="AH9" i="20"/>
  <c r="AH8" i="20"/>
  <c r="AH7" i="20"/>
  <c r="AH4" i="20"/>
  <c r="B1" i="20"/>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B12" i="19"/>
  <c r="AH11" i="19"/>
  <c r="AH10" i="19"/>
  <c r="AH9" i="19"/>
  <c r="AH8" i="19"/>
  <c r="AH7" i="19"/>
  <c r="AH4" i="19"/>
  <c r="B1" i="19"/>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AG12" i="18"/>
  <c r="AF12" i="18"/>
  <c r="AE12" i="18"/>
  <c r="AD12" i="18"/>
  <c r="AC12" i="18"/>
  <c r="AB12" i="18"/>
  <c r="AA12" i="18"/>
  <c r="Z12" i="18"/>
  <c r="Y12" i="18"/>
  <c r="X12" i="18"/>
  <c r="W12" i="18"/>
  <c r="V12" i="18"/>
  <c r="U12" i="18"/>
  <c r="T12" i="18"/>
  <c r="S12" i="18"/>
  <c r="R12" i="18"/>
  <c r="Q12" i="18"/>
  <c r="P12" i="18"/>
  <c r="O12" i="18"/>
  <c r="N12" i="18"/>
  <c r="M12" i="18"/>
  <c r="L12" i="18"/>
  <c r="K12" i="18"/>
  <c r="J12" i="18"/>
  <c r="I12" i="18"/>
  <c r="H12" i="18"/>
  <c r="G12" i="18"/>
  <c r="F12" i="18"/>
  <c r="E12" i="18"/>
  <c r="D12" i="18"/>
  <c r="C12" i="18"/>
  <c r="B12" i="18"/>
  <c r="AH11" i="18"/>
  <c r="AH10" i="18"/>
  <c r="AH9" i="18"/>
  <c r="AH8" i="18"/>
  <c r="AH7" i="18"/>
  <c r="AH4" i="18"/>
  <c r="B1" i="18"/>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AG12" i="17"/>
  <c r="AF12" i="17"/>
  <c r="AE12" i="17"/>
  <c r="AD12" i="17"/>
  <c r="AC12" i="17"/>
  <c r="AB12" i="17"/>
  <c r="AA12" i="17"/>
  <c r="Z12" i="17"/>
  <c r="Y12" i="17"/>
  <c r="X12" i="17"/>
  <c r="W12" i="17"/>
  <c r="V12" i="17"/>
  <c r="U12" i="17"/>
  <c r="T12" i="17"/>
  <c r="S12" i="17"/>
  <c r="R12" i="17"/>
  <c r="Q12" i="17"/>
  <c r="P12" i="17"/>
  <c r="O12" i="17"/>
  <c r="N12" i="17"/>
  <c r="M12" i="17"/>
  <c r="L12" i="17"/>
  <c r="K12" i="17"/>
  <c r="J12" i="17"/>
  <c r="I12" i="17"/>
  <c r="H12" i="17"/>
  <c r="G12" i="17"/>
  <c r="F12" i="17"/>
  <c r="E12" i="17"/>
  <c r="D12" i="17"/>
  <c r="C12" i="17"/>
  <c r="B12" i="17"/>
  <c r="AH11" i="17"/>
  <c r="AH10" i="17"/>
  <c r="AH9" i="17"/>
  <c r="AH8" i="17"/>
  <c r="AH7" i="17"/>
  <c r="AH4" i="17"/>
  <c r="B1" i="17"/>
  <c r="B1" i="15"/>
  <c r="B1" i="5"/>
  <c r="AH12" i="23" l="1"/>
  <c r="AH12" i="21"/>
  <c r="AH12" i="18"/>
  <c r="AH12" i="17"/>
  <c r="AH12" i="22"/>
  <c r="AH12" i="25"/>
  <c r="AH12" i="20"/>
  <c r="AH12" i="19"/>
  <c r="AH12" i="24"/>
  <c r="AB5" i="5"/>
  <c r="AH4" i="5" l="1"/>
  <c r="AH4" i="15" l="1"/>
  <c r="C12" i="4" l="1"/>
  <c r="D12" i="4"/>
  <c r="E12" i="4"/>
  <c r="F12" i="4"/>
  <c r="G12" i="4"/>
  <c r="H12" i="4"/>
  <c r="I12" i="4"/>
  <c r="J12" i="4"/>
  <c r="K12" i="4"/>
  <c r="L12" i="4"/>
  <c r="M12" i="4"/>
  <c r="N12" i="4"/>
  <c r="O12" i="4"/>
  <c r="P12" i="4"/>
  <c r="Q12" i="4"/>
  <c r="R12" i="4"/>
  <c r="S12" i="4"/>
  <c r="T12" i="4"/>
  <c r="U12" i="4"/>
  <c r="V12" i="4"/>
  <c r="W12" i="4"/>
  <c r="X12" i="4"/>
  <c r="Y12" i="4"/>
  <c r="Z12" i="4"/>
  <c r="AA12" i="4"/>
  <c r="AB12" i="4"/>
  <c r="AC12" i="4"/>
  <c r="AD12" i="4"/>
  <c r="AE12" i="4"/>
  <c r="AF12" i="4"/>
  <c r="AG12" i="4"/>
  <c r="AG12" i="15" l="1"/>
  <c r="AF12" i="15"/>
  <c r="AH7" i="15"/>
  <c r="AH8" i="15"/>
  <c r="AH9" i="15"/>
  <c r="AH10" i="15"/>
  <c r="AH11" i="15"/>
  <c r="AH12" i="15" l="1"/>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B12" i="15" l="1"/>
  <c r="B12" i="5"/>
  <c r="B12" i="4"/>
  <c r="AG5" i="15" l="1"/>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AH11" i="5" l="1"/>
  <c r="AH10" i="5"/>
  <c r="AH9" i="5"/>
  <c r="AH11" i="4"/>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AH8" i="5"/>
  <c r="AH7" i="5"/>
  <c r="AE5" i="5"/>
  <c r="AD5" i="5"/>
  <c r="AC5" i="5"/>
  <c r="AA5" i="5"/>
  <c r="Z5" i="5"/>
  <c r="Y5" i="5"/>
  <c r="X5" i="5"/>
  <c r="W5" i="5"/>
  <c r="V5" i="5"/>
  <c r="U5" i="5"/>
  <c r="T5" i="5"/>
  <c r="S5" i="5"/>
  <c r="R5" i="5"/>
  <c r="Q5" i="5"/>
  <c r="P5" i="5"/>
  <c r="O5" i="5"/>
  <c r="N5" i="5"/>
  <c r="M5" i="5"/>
  <c r="L5" i="5"/>
  <c r="K5" i="5"/>
  <c r="J5" i="5"/>
  <c r="I5" i="5"/>
  <c r="H5" i="5"/>
  <c r="G5" i="5"/>
  <c r="F5" i="5"/>
  <c r="E5" i="5"/>
  <c r="D5" i="5"/>
  <c r="C5" i="5"/>
  <c r="AH12" i="5" l="1"/>
  <c r="AH7" i="4"/>
  <c r="AH8" i="4"/>
  <c r="AH12" i="4" l="1"/>
  <c r="AE5" i="4"/>
  <c r="AA5" i="4"/>
  <c r="W5" i="4"/>
  <c r="O5" i="4"/>
  <c r="G5" i="4"/>
  <c r="AD5" i="4"/>
  <c r="Z5" i="4"/>
  <c r="R5" i="4"/>
  <c r="N5" i="4"/>
  <c r="F5" i="4"/>
  <c r="M5" i="4"/>
  <c r="AG5" i="4"/>
  <c r="AC5" i="4"/>
  <c r="Y5" i="4"/>
  <c r="S5" i="4"/>
  <c r="K5" i="4"/>
  <c r="E5" i="4"/>
  <c r="AF5" i="4"/>
  <c r="AB5" i="4"/>
  <c r="X5" i="4"/>
  <c r="T5" i="4"/>
  <c r="P5" i="4"/>
  <c r="L5" i="4"/>
  <c r="H5" i="4"/>
  <c r="D5" i="4"/>
  <c r="Q5" i="4"/>
  <c r="I5" i="4"/>
  <c r="C5" i="4"/>
  <c r="V5" i="4"/>
  <c r="J5" i="4"/>
  <c r="U5" i="4"/>
</calcChain>
</file>

<file path=xl/sharedStrings.xml><?xml version="1.0" encoding="utf-8"?>
<sst xmlns="http://schemas.openxmlformats.org/spreadsheetml/2006/main" count="836" uniqueCount="68">
  <si>
    <t>Employee Absence Schedule</t>
  </si>
  <si>
    <t>Dates of Absence</t>
  </si>
  <si>
    <t>Employee Name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</si>
  <si>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</si>
  <si>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</si>
  <si>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</si>
  <si>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</si>
  <si>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</si>
  <si>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</si>
  <si>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</si>
  <si>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</si>
  <si>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</si>
  <si>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</si>
  <si>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</si>
  <si>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</si>
  <si>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</si>
  <si>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</si>
  <si>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</si>
  <si>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</si>
  <si>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</si>
  <si>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</si>
  <si>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</si>
  <si>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</si>
  <si>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</si>
  <si>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</si>
  <si>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</si>
  <si>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</si>
  <si>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</si>
  <si>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</si>
  <si>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</si>
  <si>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</si>
  <si>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</si>
  <si>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</si>
  <si>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</si>
  <si>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Total Days</t>
  </si>
  <si>
    <t>Employee 1</t>
  </si>
  <si>
    <t>S</t>
  </si>
  <si>
    <t>V</t>
  </si>
  <si>
    <t>Employee 2</t>
  </si>
  <si>
    <t xml:space="preserve"> </t>
  </si>
  <si>
    <t xml:space="preserve">  </t>
  </si>
  <si>
    <t>P</t>
  </si>
  <si>
    <t>January</t>
  </si>
  <si>
    <t>Vacation</t>
  </si>
  <si>
    <t>Personal</t>
  </si>
  <si>
    <t>Sick</t>
  </si>
  <si>
    <t>Custom 1</t>
  </si>
  <si>
    <t>Custom 2</t>
  </si>
  <si>
    <t>February</t>
  </si>
  <si>
    <t>Employee 3</t>
  </si>
  <si>
    <t>Employee 4</t>
  </si>
  <si>
    <t>Employee 5</t>
  </si>
  <si>
    <t>March</t>
  </si>
  <si>
    <t>April</t>
  </si>
  <si>
    <t>May</t>
  </si>
  <si>
    <t>June</t>
  </si>
  <si>
    <t>July</t>
  </si>
  <si>
    <t>August</t>
  </si>
  <si>
    <t>September</t>
  </si>
  <si>
    <t>October</t>
  </si>
  <si>
    <t>November</t>
  </si>
  <si>
    <t>December</t>
  </si>
  <si>
    <t>Enter year:</t>
  </si>
  <si>
    <t>Absence Type Key</t>
  </si>
  <si>
    <t>Employee Names</t>
  </si>
  <si>
    <t>v</t>
  </si>
  <si>
    <t>s</t>
  </si>
  <si>
    <t>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</si>
</sst>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s>
  <fills count="21">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s>
  <borders count="1">
    <border>
      <left/>
      <right/>
      <top/>
      <bottom/>
      <diagonal/>
    </border>
  </borders>
  <cellStyleXfs count="28">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cellStyleXfs>
  <cellXfs count="25">
    <xf numFmtId="0" fontId="0" fillId="0" borderId="0" xfId="0">
      <alignment horizontal="left" vertical="center"/>
    </xf>
    <xf numFmtId="0" fontId="1" fillId="0" borderId="0" xfId="26">
      <alignment horizontal="left" vertical="center" wrapText="1" indent="2"/>
    </xf>
    <xf numFmtId="0" fontId="0" fillId="0" borderId="0" xfId="0" applyAlignment="1" applyProtection="1">
      <alignment horizontal="center" vertical="center"/>
    </xf>
    <xf numFmtId="0" fontId="0" fillId="0" borderId="0" xfId="0" applyFont="1" applyFill="1" applyBorder="1" applyAlignment="1" applyProtection="1">
      <alignment horizontal="center" vertical="center"/>
    </xf>
    <xf numFmtId="0" fontId="2" fillId="15" borderId="0" xfId="12" applyAlignment="1" applyProtection="1">
      <alignment horizontal="center" vertical="center"/>
    </xf>
    <xf numFmtId="0" fontId="2" fillId="10" borderId="0" xfId="19" applyAlignment="1" applyProtection="1">
      <alignment horizontal="center" vertical="center"/>
    </xf>
    <xf numFmtId="0" fontId="2" fillId="13" borderId="0" xfId="23" applyFont="1" applyAlignment="1" applyProtection="1">
      <alignment horizontal="center" vertical="center"/>
    </xf>
    <xf numFmtId="164" fontId="2" fillId="9" borderId="0" xfId="8" applyNumberFormat="1" applyFont="1" applyAlignment="1" applyProtection="1">
      <alignment horizontal="center" vertical="center"/>
    </xf>
    <xf numFmtId="164" fontId="2" fillId="14" borderId="0" xfId="24" applyNumberFormat="1" applyFont="1" applyAlignment="1" applyProtection="1">
      <alignment horizontal="center" vertical="center"/>
    </xf>
    <xf numFmtId="0" fontId="1" fillId="0" borderId="0" xfId="26" applyFill="1" applyBorder="1">
      <alignment horizontal="left" vertical="center" wrapText="1" indent="2"/>
    </xf>
    <xf numFmtId="1" fontId="1" fillId="0" borderId="0" xfId="25" applyFill="1" applyBorder="1" applyProtection="1">
      <alignment horizontal="center" vertical="center"/>
    </xf>
    <xf numFmtId="0" fontId="0" fillId="0" borderId="0" xfId="0" applyProtection="1">
      <alignment horizontal="left" vertical="center"/>
    </xf>
    <xf numFmtId="0" fontId="6" fillId="2" borderId="0" xfId="3" applyProtection="1">
      <alignment horizontal="center" vertical="center"/>
    </xf>
    <xf numFmtId="164" fontId="0" fillId="0" borderId="0" xfId="0" applyNumberFormat="1" applyFont="1" applyFill="1" applyBorder="1" applyAlignment="1" applyProtection="1">
      <alignment horizontal="center" vertical="center"/>
    </xf>
    <xf numFmtId="0" fontId="7" fillId="0" borderId="0" xfId="1" applyAlignment="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1" fillId="0" borderId="0" xfId="26" applyFill="1" applyBorder="1" applyProtection="1">
      <alignment horizontal="left" vertical="center" wrapText="1" indent="2"/>
    </xf>
    <xf numFmtId="0" fontId="0" fillId="0" borderId="0" xfId="0" applyAlignment="1" applyProtection="1">
      <alignment horizontal="left" vertical="center" wrapText="1"/>
    </xf>
    <xf numFmtId="0" fontId="2" fillId="20" borderId="0" xfId="4" applyProtection="1">
      <alignment horizontal="right" vertical="center" indent="1"/>
    </xf>
    <xf numFmtId="0" fontId="8" fillId="0" borderId="0" xfId="27" applyProtection="1">
      <alignment horizontal="center"/>
    </xf>
    <xf numFmtId="0" fontId="0" fillId="0" borderId="0" xfId="0" applyFont="1" applyFill="1" applyBorder="1" applyAlignment="1" applyProtection="1">
      <alignment horizontal="left" vertical="center" indent="1"/>
    </xf>
    <xf numFmtId="0" fontId="7" fillId="0" borderId="0" xfId="1">
      <alignment vertical="top"/>
    </xf>
    <xf numFmtId="0" fontId="6" fillId="2" borderId="0" xfId="3" applyProtection="1">
      <alignment horizontal="center" vertical="center"/>
    </xf>
    <xf numFmtId="0" fontId="1" fillId="2" borderId="0" xfId="21" applyAlignment="1" applyProtection="1">
      <alignment horizontal="left" vertical="center"/>
    </xf>
  </cellXfs>
  <cellStyles count="28">
    <cellStyle name="20% - Accent1" xfId="15" builtinId="30" customBuiltin="1"/>
    <cellStyle name="20% - Accent3" xfId="21" builtinId="38" customBuiltin="1"/>
    <cellStyle name="20% - Accent4" xfId="7" builtinId="42"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3" xfId="23" builtinId="40" customBuiltin="1"/>
    <cellStyle name="60% - Accent4" xfId="9" builtinId="44"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cellStyle name="Heading 1" xfId="2" builtinId="16" customBuiltin="1"/>
    <cellStyle name="Heading 2" xfId="3" builtinId="17" customBuiltin="1"/>
    <cellStyle name="Heading 3" xfId="4" builtinId="18" customBuiltin="1"/>
    <cellStyle name="Heading 4" xfId="5" builtinId="19" customBuiltin="1"/>
    <cellStyle name="Label" xfId="27"/>
    <cellStyle name="Normal" xfId="0" builtinId="0" customBuiltin="1"/>
    <cellStyle name="Title" xfId="1" builtinId="15" customBuiltin="1"/>
    <cellStyle name="Total" xfId="25" builtinId="25" customBuiltin="1"/>
  </cellStyles>
  <dxfs count="902">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fill>
        <patternFill patternType="none">
          <fgColor indexed="64"/>
          <bgColor indexed="65"/>
        </patternFill>
      </fill>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0"/>
      </font>
      <border>
        <vertical/>
        <horizontal/>
      </border>
    </dxf>
    <dxf>
      <font>
        <b val="0"/>
        <i val="0"/>
        <color theme="3"/>
      </font>
      <border>
        <vertical/>
        <horizontal/>
      </border>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fill>
        <patternFill patternType="none">
          <fgColor indexed="64"/>
          <bgColor indexed="65"/>
        </patternFill>
      </fill>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TableStyle="Employee Absence Table" defaultPivotStyle="PivotStyleLight16">
    <tableStyle name="Employee Absence Table" pivot="0" count="13">
      <tableStyleElement type="wholeTable" dxfId="901"/>
      <tableStyleElement type="headerRow" dxfId="900"/>
      <tableStyleElement type="totalRow" dxfId="899"/>
      <tableStyleElement type="firstColumn" dxfId="898"/>
      <tableStyleElement type="lastColumn" dxfId="897"/>
      <tableStyleElement type="firstRowStripe" dxfId="896"/>
      <tableStyleElement type="secondRowStripe" dxfId="895"/>
      <tableStyleElement type="firstColumnStripe" dxfId="894"/>
      <tableStyleElement type="secondColumnStripe" dxfId="893"/>
      <tableStyleElement type="firstHeaderCell" dxfId="892"/>
      <tableStyleElement type="lastHeaderCell" dxfId="891"/>
      <tableStyleElement type="firstTotalCell" dxfId="890"/>
      <tableStyleElement type="lastTotalCell" dxfId="8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3" name="January" displayName="January" ref="B6:AH12" totalsRowCount="1" headerRowDxfId="883" dataDxfId="882" totalsRowDxfId="881">
  <autoFilter ref="B6:AH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name="Employee Name" totalsRowFunction="custom" dataDxfId="880" totalsRowDxfId="879" dataCellStyle="Employee">
      <totalsRowFormula>MonthName&amp;" Total"</totalsRowFormula>
    </tableColumn>
    <tableColumn id="2" name="1" totalsRowFunction="custom" dataDxfId="878" totalsRowDxfId="877" dataCellStyle="Total">
      <totalsRowFormula>SUBTOTAL(103,January!$C$7:$C$11)</totalsRowFormula>
    </tableColumn>
    <tableColumn id="3" name="2" totalsRowFunction="custom" dataDxfId="876" totalsRowDxfId="875" dataCellStyle="Total">
      <totalsRowFormula>SUBTOTAL(103,January!$D$7:$D$11)</totalsRowFormula>
    </tableColumn>
    <tableColumn id="4" name="3" totalsRowFunction="custom" dataDxfId="874" totalsRowDxfId="873" dataCellStyle="Total">
      <totalsRowFormula>SUBTOTAL(103,January!$E$7:$E$11)</totalsRowFormula>
    </tableColumn>
    <tableColumn id="5" name="4" totalsRowFunction="custom" dataDxfId="872" totalsRowDxfId="871" dataCellStyle="Total">
      <totalsRowFormula>SUBTOTAL(103,January!$F$7:$F$11)</totalsRowFormula>
    </tableColumn>
    <tableColumn id="6" name="5" totalsRowFunction="custom" totalsRowDxfId="870" dataCellStyle="Total">
      <totalsRowFormula>SUBTOTAL(103,January!$G$7:$G$11)</totalsRowFormula>
    </tableColumn>
    <tableColumn id="7" name="6" totalsRowFunction="custom" dataDxfId="869" totalsRowDxfId="868" dataCellStyle="Total">
      <totalsRowFormula>SUBTOTAL(103,January!$H$7:$H$11)</totalsRowFormula>
    </tableColumn>
    <tableColumn id="8" name="7" totalsRowFunction="custom" dataDxfId="867" totalsRowDxfId="866" dataCellStyle="Total">
      <totalsRowFormula>SUBTOTAL(103,January!$I$7:$I$11)</totalsRowFormula>
    </tableColumn>
    <tableColumn id="9" name="8" totalsRowFunction="custom" dataDxfId="865" totalsRowDxfId="864" dataCellStyle="Total">
      <totalsRowFormula>SUBTOTAL(103,January!$J$7:$J$11)</totalsRowFormula>
    </tableColumn>
    <tableColumn id="10" name="9" totalsRowFunction="custom" dataDxfId="863" totalsRowDxfId="862" dataCellStyle="Total">
      <totalsRowFormula>SUBTOTAL(103,January!$K$7:$K$11)</totalsRowFormula>
    </tableColumn>
    <tableColumn id="11" name="10" totalsRowFunction="custom" dataDxfId="861" totalsRowDxfId="860" dataCellStyle="Total">
      <totalsRowFormula>SUBTOTAL(103,January!$L$7:$L$11)</totalsRowFormula>
    </tableColumn>
    <tableColumn id="12" name="11" totalsRowFunction="custom" dataDxfId="859" totalsRowDxfId="858" dataCellStyle="Total">
      <totalsRowFormula>SUBTOTAL(103,January!$M$7:$M$11)</totalsRowFormula>
    </tableColumn>
    <tableColumn id="13" name="12" totalsRowFunction="custom" dataDxfId="857" totalsRowDxfId="856" dataCellStyle="Total">
      <totalsRowFormula>SUBTOTAL(103,January!$N$7:$N$11)</totalsRowFormula>
    </tableColumn>
    <tableColumn id="14" name="13" totalsRowFunction="custom" dataDxfId="855" totalsRowDxfId="854" dataCellStyle="Total">
      <totalsRowFormula>SUBTOTAL(103,January!$O$7:$O$11)</totalsRowFormula>
    </tableColumn>
    <tableColumn id="15" name="14" totalsRowFunction="custom" dataDxfId="853" totalsRowDxfId="852" dataCellStyle="Total">
      <totalsRowFormula>SUBTOTAL(103,January!$P$7:$P$11)</totalsRowFormula>
    </tableColumn>
    <tableColumn id="16" name="15" totalsRowFunction="custom" dataDxfId="851" totalsRowDxfId="850" dataCellStyle="Total">
      <totalsRowFormula>SUBTOTAL(103,January!$Q$7:$Q$11)</totalsRowFormula>
    </tableColumn>
    <tableColumn id="17" name="16" totalsRowFunction="custom" dataDxfId="849" totalsRowDxfId="848" dataCellStyle="Total">
      <totalsRowFormula>SUBTOTAL(103,January!$R$7:$R$11)</totalsRowFormula>
    </tableColumn>
    <tableColumn id="18" name="17" totalsRowFunction="custom" dataDxfId="847" totalsRowDxfId="846" dataCellStyle="Total">
      <totalsRowFormula>SUBTOTAL(103,January!$S$7:$S$11)</totalsRowFormula>
    </tableColumn>
    <tableColumn id="19" name="18" totalsRowFunction="custom" dataDxfId="845" totalsRowDxfId="844" dataCellStyle="Total">
      <totalsRowFormula>SUBTOTAL(103,January!$T$7:$T$11)</totalsRowFormula>
    </tableColumn>
    <tableColumn id="20" name="19" totalsRowFunction="custom" dataDxfId="843" totalsRowDxfId="842" dataCellStyle="Total">
      <totalsRowFormula>SUBTOTAL(103,January!$U$7:$U$11)</totalsRowFormula>
    </tableColumn>
    <tableColumn id="21" name="20" totalsRowFunction="custom" dataDxfId="841" totalsRowDxfId="840" dataCellStyle="Total">
      <totalsRowFormula>SUBTOTAL(103,January!$V$7:$V$11)</totalsRowFormula>
    </tableColumn>
    <tableColumn id="22" name="21" totalsRowFunction="custom" dataDxfId="839" totalsRowDxfId="838" dataCellStyle="Total">
      <totalsRowFormula>SUBTOTAL(103,January!$W$7:$W$11)</totalsRowFormula>
    </tableColumn>
    <tableColumn id="23" name="22" totalsRowFunction="custom" dataDxfId="837" totalsRowDxfId="836" dataCellStyle="Total">
      <totalsRowFormula>SUBTOTAL(103,January!$X$7:$X$11)</totalsRowFormula>
    </tableColumn>
    <tableColumn id="24" name="23" totalsRowFunction="custom" dataDxfId="835" totalsRowDxfId="834" dataCellStyle="Total">
      <totalsRowFormula>SUBTOTAL(103,January!$Y$7:$Y$11)</totalsRowFormula>
    </tableColumn>
    <tableColumn id="25" name="24" totalsRowFunction="custom" dataDxfId="833" totalsRowDxfId="832" dataCellStyle="Total">
      <totalsRowFormula>SUBTOTAL(103,January!$Z$7:$Z$11)</totalsRowFormula>
    </tableColumn>
    <tableColumn id="26" name="25" totalsRowFunction="custom" dataDxfId="831" totalsRowDxfId="830" dataCellStyle="Total">
      <totalsRowFormula>SUBTOTAL(103,January!$AA$7:$AA$11)</totalsRowFormula>
    </tableColumn>
    <tableColumn id="27" name="26" totalsRowFunction="custom" dataDxfId="829" totalsRowDxfId="828" dataCellStyle="Total">
      <totalsRowFormula>SUBTOTAL(103,January!$AB$7:$AB$11)</totalsRowFormula>
    </tableColumn>
    <tableColumn id="28" name="27" totalsRowFunction="custom" dataDxfId="827" totalsRowDxfId="826" dataCellStyle="Total">
      <totalsRowFormula>SUBTOTAL(103,January!$AC$7:$AC$11)</totalsRowFormula>
    </tableColumn>
    <tableColumn id="29" name="28" totalsRowFunction="custom" dataDxfId="825" totalsRowDxfId="824" dataCellStyle="Total">
      <totalsRowFormula>SUBTOTAL(103,January!$AD$7:$AD$11)</totalsRowFormula>
    </tableColumn>
    <tableColumn id="30" name="29" totalsRowFunction="custom" dataDxfId="823" totalsRowDxfId="822" dataCellStyle="Total">
      <totalsRowFormula>SUBTOTAL(103,January!$AE$7:$AE$11)</totalsRowFormula>
    </tableColumn>
    <tableColumn id="31" name="30" totalsRowFunction="custom" dataDxfId="821" totalsRowDxfId="820" dataCellStyle="Total">
      <totalsRowFormula>SUBTOTAL(103,January!$AF$7:$AF$11)</totalsRowFormula>
    </tableColumn>
    <tableColumn id="32" name="31" totalsRowFunction="custom" dataDxfId="819" totalsRowDxfId="818" dataCellStyle="Total">
      <totalsRowFormula>SUBTOTAL(103,January!$AG$7:$AG$11)</totalsRowFormula>
    </tableColumn>
    <tableColumn id="33" name="Total Days" totalsRowFunction="sum" dataDxfId="817" totalsRowDxfId="816" dataCellStyle="Total">
      <calculatedColumnFormula>COUNTA(January!$C7:$AG7)</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id="2" name="February" displayName="February" ref="B6:AH12" totalsRowCount="1" headerRowDxfId="808" dataDxfId="807" totalsRowDxfId="806">
  <tableColumns count="33">
    <tableColumn id="1" name="Employee Name" totalsRowFunction="custom" dataDxfId="805" totalsRowDxfId="804" dataCellStyle="Employee">
      <totalsRowFormula>MonthName&amp;" Total"</totalsRowFormula>
    </tableColumn>
    <tableColumn id="2" name="1" totalsRowFunction="count" dataDxfId="803" totalsRowDxfId="802" dataCellStyle="Total"/>
    <tableColumn id="3" name="2" totalsRowFunction="count" dataDxfId="801" totalsRowDxfId="800" dataCellStyle="Total"/>
    <tableColumn id="4" name="3" totalsRowFunction="count" dataDxfId="799" totalsRowDxfId="798" dataCellStyle="Total"/>
    <tableColumn id="5" name="4" totalsRowFunction="count" dataDxfId="797" totalsRowDxfId="796" dataCellStyle="Total"/>
    <tableColumn id="6" name="5" totalsRowFunction="count" dataDxfId="795" totalsRowDxfId="794" dataCellStyle="Total"/>
    <tableColumn id="7" name="6" totalsRowFunction="count" dataDxfId="793" totalsRowDxfId="792" dataCellStyle="Total"/>
    <tableColumn id="8" name="7" totalsRowFunction="count" dataDxfId="791" totalsRowDxfId="790" dataCellStyle="Total"/>
    <tableColumn id="9" name="8" totalsRowFunction="count" dataDxfId="789" totalsRowDxfId="788" dataCellStyle="Total"/>
    <tableColumn id="10" name="9" totalsRowFunction="count" dataDxfId="787" totalsRowDxfId="786" dataCellStyle="Total"/>
    <tableColumn id="11" name="10" totalsRowFunction="count" dataDxfId="785" totalsRowDxfId="784" dataCellStyle="Total"/>
    <tableColumn id="12" name="11" totalsRowFunction="count" dataDxfId="783" totalsRowDxfId="782" dataCellStyle="Total"/>
    <tableColumn id="13" name="12" totalsRowFunction="count" dataDxfId="781" totalsRowDxfId="780" dataCellStyle="Total"/>
    <tableColumn id="14" name="13" totalsRowFunction="count" dataDxfId="779" totalsRowDxfId="778" dataCellStyle="Total"/>
    <tableColumn id="15" name="14" totalsRowFunction="count" dataDxfId="777" totalsRowDxfId="776" dataCellStyle="Total"/>
    <tableColumn id="16" name="15" totalsRowFunction="count" dataDxfId="775" totalsRowDxfId="774" dataCellStyle="Total"/>
    <tableColumn id="17" name="16" totalsRowFunction="count" dataDxfId="773" totalsRowDxfId="772" dataCellStyle="Total"/>
    <tableColumn id="18" name="17" totalsRowFunction="count" dataDxfId="771" totalsRowDxfId="770" dataCellStyle="Total"/>
    <tableColumn id="19" name="18" totalsRowFunction="count" dataDxfId="769" totalsRowDxfId="768" dataCellStyle="Total"/>
    <tableColumn id="20" name="19" totalsRowFunction="count" dataDxfId="767" totalsRowDxfId="766" dataCellStyle="Total"/>
    <tableColumn id="21" name="20" totalsRowFunction="count" dataDxfId="765" totalsRowDxfId="764" dataCellStyle="Total"/>
    <tableColumn id="22" name="21" totalsRowFunction="count" dataDxfId="763" totalsRowDxfId="762" dataCellStyle="Total"/>
    <tableColumn id="23" name="22" totalsRowFunction="count" dataDxfId="761" totalsRowDxfId="760" dataCellStyle="Total"/>
    <tableColumn id="24" name="23" totalsRowFunction="count" dataDxfId="759" totalsRowDxfId="758" dataCellStyle="Total"/>
    <tableColumn id="25" name="24" totalsRowFunction="count" dataDxfId="757" totalsRowDxfId="756" dataCellStyle="Total"/>
    <tableColumn id="26" name="25" totalsRowFunction="count" dataDxfId="755" totalsRowDxfId="754" dataCellStyle="Total"/>
    <tableColumn id="27" name="26" totalsRowFunction="count" dataDxfId="753" totalsRowDxfId="752" dataCellStyle="Total"/>
    <tableColumn id="28" name="27" totalsRowFunction="count" dataDxfId="751" totalsRowDxfId="750" dataCellStyle="Total"/>
    <tableColumn id="29" name="28" totalsRowFunction="count" dataDxfId="749" totalsRowDxfId="748" dataCellStyle="Total"/>
    <tableColumn id="30" name="29" totalsRowFunction="count" dataDxfId="747" totalsRowDxfId="746" dataCellStyle="Total"/>
    <tableColumn id="31" name=" " dataDxfId="745" totalsRowDxfId="744" dataCellStyle="Total"/>
    <tableColumn id="32" name="  " dataDxfId="743" totalsRowDxfId="742" dataCellStyle="Total"/>
    <tableColumn id="33" name="Total Days" totalsRowFunction="sum" dataDxfId="741" totalsRowDxfId="740"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id="14" name="March" displayName="March" ref="B6:AH12" totalsRowCount="1" headerRowDxfId="734" dataDxfId="733" totalsRowDxfId="732">
  <tableColumns count="33">
    <tableColumn id="1" name="Employee Name" totalsRowFunction="custom" dataDxfId="731" totalsRowDxfId="730" dataCellStyle="Employee">
      <totalsRowFormula>MonthName&amp;" Total"</totalsRowFormula>
    </tableColumn>
    <tableColumn id="2" name="1" totalsRowFunction="count" dataDxfId="729" totalsRowDxfId="728"/>
    <tableColumn id="3" name="2" totalsRowFunction="count" dataDxfId="727" totalsRowDxfId="726"/>
    <tableColumn id="4" name="3" totalsRowFunction="count" dataDxfId="725" totalsRowDxfId="724"/>
    <tableColumn id="5" name="4" totalsRowFunction="count" dataDxfId="723" totalsRowDxfId="722"/>
    <tableColumn id="6" name="5" totalsRowFunction="count" dataDxfId="721" totalsRowDxfId="720"/>
    <tableColumn id="7" name="6" totalsRowFunction="count" dataDxfId="719" totalsRowDxfId="718"/>
    <tableColumn id="8" name="7" totalsRowFunction="count" dataDxfId="717" totalsRowDxfId="716"/>
    <tableColumn id="9" name="8" totalsRowFunction="count" dataDxfId="715" totalsRowDxfId="714"/>
    <tableColumn id="10" name="9" totalsRowFunction="count" dataDxfId="713" totalsRowDxfId="712"/>
    <tableColumn id="11" name="10" totalsRowFunction="count" dataDxfId="711" totalsRowDxfId="710"/>
    <tableColumn id="12" name="11" totalsRowFunction="count" dataDxfId="709" totalsRowDxfId="708"/>
    <tableColumn id="13" name="12" totalsRowFunction="count" dataDxfId="707" totalsRowDxfId="706"/>
    <tableColumn id="14" name="13" totalsRowFunction="count" dataDxfId="705" totalsRowDxfId="704"/>
    <tableColumn id="15" name="14" totalsRowFunction="count" dataDxfId="703" totalsRowDxfId="702"/>
    <tableColumn id="16" name="15" totalsRowFunction="count" dataDxfId="701" totalsRowDxfId="700"/>
    <tableColumn id="17" name="16" totalsRowFunction="count" dataDxfId="699" totalsRowDxfId="698"/>
    <tableColumn id="18" name="17" totalsRowFunction="count" dataDxfId="697" totalsRowDxfId="696"/>
    <tableColumn id="19" name="18" totalsRowFunction="count" dataDxfId="695" totalsRowDxfId="694"/>
    <tableColumn id="20" name="19" totalsRowFunction="count" dataDxfId="693" totalsRowDxfId="692"/>
    <tableColumn id="21" name="20" totalsRowFunction="count" dataDxfId="691" totalsRowDxfId="690"/>
    <tableColumn id="22" name="21" totalsRowFunction="count" dataDxfId="689" totalsRowDxfId="688"/>
    <tableColumn id="23" name="22" totalsRowFunction="count" dataDxfId="687" totalsRowDxfId="686"/>
    <tableColumn id="24" name="23" totalsRowFunction="count" dataDxfId="685" totalsRowDxfId="684"/>
    <tableColumn id="25" name="24" totalsRowFunction="count" dataDxfId="683" totalsRowDxfId="682"/>
    <tableColumn id="26" name="25" totalsRowFunction="count" dataDxfId="681" totalsRowDxfId="680"/>
    <tableColumn id="27" name="26" totalsRowFunction="count" dataDxfId="679" totalsRowDxfId="678"/>
    <tableColumn id="28" name="27" totalsRowFunction="count" dataDxfId="677" totalsRowDxfId="676"/>
    <tableColumn id="29" name="28" totalsRowFunction="count" dataDxfId="675" totalsRowDxfId="674"/>
    <tableColumn id="30" name="29" totalsRowFunction="count" dataDxfId="673" totalsRowDxfId="672"/>
    <tableColumn id="31" name="30" totalsRowFunction="sum" dataDxfId="671" totalsRowDxfId="670"/>
    <tableColumn id="32" name="31" totalsRowFunction="sum" dataDxfId="669" totalsRowDxfId="668" dataCellStyle="Total"/>
    <tableColumn id="33" name="Total Days" totalsRowFunction="sum" dataDxfId="667" totalsRowDxfId="666"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4.xml><?xml version="1.0" encoding="utf-8"?>
<table xmlns="http://schemas.openxmlformats.org/spreadsheetml/2006/main" id="15" name="April" displayName="April" ref="B6:AH12" totalsRowCount="1" headerRowDxfId="660" dataDxfId="659" totalsRowDxfId="658">
  <tableColumns count="33">
    <tableColumn id="1" name="Employee Name" totalsRowFunction="custom" dataDxfId="657" totalsRowDxfId="656" dataCellStyle="Employee">
      <totalsRowFormula>MonthName&amp;" Total"</totalsRowFormula>
    </tableColumn>
    <tableColumn id="2" name="1" totalsRowFunction="count" dataDxfId="655" totalsRowDxfId="654"/>
    <tableColumn id="3" name="2" totalsRowFunction="count" dataDxfId="653" totalsRowDxfId="652"/>
    <tableColumn id="4" name="3" totalsRowFunction="count" dataDxfId="651" totalsRowDxfId="650"/>
    <tableColumn id="5" name="4" totalsRowFunction="count" dataDxfId="649" totalsRowDxfId="648"/>
    <tableColumn id="6" name="5" totalsRowFunction="count" dataDxfId="647" totalsRowDxfId="646"/>
    <tableColumn id="7" name="6" totalsRowFunction="count" dataDxfId="645" totalsRowDxfId="644"/>
    <tableColumn id="8" name="7" totalsRowFunction="count" dataDxfId="643" totalsRowDxfId="642"/>
    <tableColumn id="9" name="8" totalsRowFunction="count" dataDxfId="641" totalsRowDxfId="640"/>
    <tableColumn id="10" name="9" totalsRowFunction="count" dataDxfId="639" totalsRowDxfId="638"/>
    <tableColumn id="11" name="10" totalsRowFunction="count" dataDxfId="637" totalsRowDxfId="636"/>
    <tableColumn id="12" name="11" totalsRowFunction="count" dataDxfId="635" totalsRowDxfId="634"/>
    <tableColumn id="13" name="12" totalsRowFunction="count" dataDxfId="633" totalsRowDxfId="632"/>
    <tableColumn id="14" name="13" totalsRowFunction="count" dataDxfId="631" totalsRowDxfId="630"/>
    <tableColumn id="15" name="14" totalsRowFunction="count" dataDxfId="629" totalsRowDxfId="628"/>
    <tableColumn id="16" name="15" totalsRowFunction="count" dataDxfId="627" totalsRowDxfId="626"/>
    <tableColumn id="17" name="16" totalsRowFunction="count" dataDxfId="625" totalsRowDxfId="624"/>
    <tableColumn id="18" name="17" totalsRowFunction="count" dataDxfId="623" totalsRowDxfId="622"/>
    <tableColumn id="19" name="18" totalsRowFunction="count" dataDxfId="621" totalsRowDxfId="620"/>
    <tableColumn id="20" name="19" totalsRowFunction="count" dataDxfId="619" totalsRowDxfId="618"/>
    <tableColumn id="21" name="20" totalsRowFunction="count" dataDxfId="617" totalsRowDxfId="616"/>
    <tableColumn id="22" name="21" totalsRowFunction="count" dataDxfId="615" totalsRowDxfId="614"/>
    <tableColumn id="23" name="22" totalsRowFunction="count" dataDxfId="613" totalsRowDxfId="612"/>
    <tableColumn id="24" name="23" totalsRowFunction="count" dataDxfId="611" totalsRowDxfId="610"/>
    <tableColumn id="25" name="24" totalsRowFunction="count" dataDxfId="609" totalsRowDxfId="608"/>
    <tableColumn id="26" name="25" totalsRowFunction="count" dataDxfId="607" totalsRowDxfId="606"/>
    <tableColumn id="27" name="26" totalsRowFunction="count" dataDxfId="605" totalsRowDxfId="604"/>
    <tableColumn id="28" name="27" totalsRowFunction="count" dataDxfId="603" totalsRowDxfId="602"/>
    <tableColumn id="29" name="28" totalsRowFunction="count" dataDxfId="601" totalsRowDxfId="600"/>
    <tableColumn id="30" name="29" totalsRowFunction="count" dataDxfId="599" totalsRowDxfId="598"/>
    <tableColumn id="31" name="30" totalsRowFunction="sum" dataDxfId="597" totalsRowDxfId="596"/>
    <tableColumn id="32" name="31" totalsRowFunction="sum" dataDxfId="595" totalsRowDxfId="594" dataCellStyle="Total"/>
    <tableColumn id="33" name="Total Days" totalsRowFunction="sum" dataDxfId="593" totalsRowDxfId="592" dataCellStyle="Total">
      <calculatedColumnFormula>COUNTA(April[[#This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5.xml><?xml version="1.0" encoding="utf-8"?>
<table xmlns="http://schemas.openxmlformats.org/spreadsheetml/2006/main" id="16" name="May" displayName="May" ref="B6:AH12" totalsRowCount="1" headerRowDxfId="586" dataDxfId="585" totalsRowDxfId="584">
  <tableColumns count="33">
    <tableColumn id="1" name="Employee Name" totalsRowFunction="custom" dataDxfId="583" totalsRowDxfId="582" dataCellStyle="Employee">
      <totalsRowFormula>MonthName&amp;" Total"</totalsRowFormula>
    </tableColumn>
    <tableColumn id="2" name="1" totalsRowFunction="count" dataDxfId="581" totalsRowDxfId="580"/>
    <tableColumn id="3" name="2" totalsRowFunction="count" dataDxfId="579" totalsRowDxfId="578"/>
    <tableColumn id="4" name="3" totalsRowFunction="count" dataDxfId="577" totalsRowDxfId="576"/>
    <tableColumn id="5" name="4" totalsRowFunction="count" dataDxfId="575" totalsRowDxfId="574"/>
    <tableColumn id="6" name="5" totalsRowFunction="count" dataDxfId="573" totalsRowDxfId="572"/>
    <tableColumn id="7" name="6" totalsRowFunction="count" dataDxfId="571" totalsRowDxfId="570"/>
    <tableColumn id="8" name="7" totalsRowFunction="count" dataDxfId="569" totalsRowDxfId="568"/>
    <tableColumn id="9" name="8" totalsRowFunction="count" dataDxfId="567" totalsRowDxfId="566"/>
    <tableColumn id="10" name="9" totalsRowFunction="count" dataDxfId="565" totalsRowDxfId="564"/>
    <tableColumn id="11" name="10" totalsRowFunction="count" dataDxfId="563" totalsRowDxfId="562"/>
    <tableColumn id="12" name="11" totalsRowFunction="count" dataDxfId="561" totalsRowDxfId="560"/>
    <tableColumn id="13" name="12" totalsRowFunction="count" dataDxfId="559" totalsRowDxfId="558"/>
    <tableColumn id="14" name="13" totalsRowFunction="count" dataDxfId="557" totalsRowDxfId="556"/>
    <tableColumn id="15" name="14" totalsRowFunction="count" dataDxfId="555" totalsRowDxfId="554"/>
    <tableColumn id="16" name="15" totalsRowFunction="count" dataDxfId="553" totalsRowDxfId="552"/>
    <tableColumn id="17" name="16" totalsRowFunction="count" dataDxfId="551" totalsRowDxfId="550"/>
    <tableColumn id="18" name="17" totalsRowFunction="count" dataDxfId="549" totalsRowDxfId="548"/>
    <tableColumn id="19" name="18" totalsRowFunction="count" dataDxfId="547" totalsRowDxfId="546"/>
    <tableColumn id="20" name="19" totalsRowFunction="count" dataDxfId="545" totalsRowDxfId="544"/>
    <tableColumn id="21" name="20" totalsRowFunction="count" dataDxfId="543" totalsRowDxfId="542"/>
    <tableColumn id="22" name="21" totalsRowFunction="count" dataDxfId="541" totalsRowDxfId="540"/>
    <tableColumn id="23" name="22" totalsRowFunction="count" dataDxfId="539" totalsRowDxfId="538"/>
    <tableColumn id="24" name="23" totalsRowFunction="count" dataDxfId="537" totalsRowDxfId="536"/>
    <tableColumn id="25" name="24" totalsRowFunction="count" dataDxfId="535" totalsRowDxfId="534"/>
    <tableColumn id="26" name="25" totalsRowFunction="count" dataDxfId="533" totalsRowDxfId="532"/>
    <tableColumn id="27" name="26" totalsRowFunction="count" dataDxfId="531" totalsRowDxfId="530"/>
    <tableColumn id="28" name="27" totalsRowFunction="count" dataDxfId="529" totalsRowDxfId="528"/>
    <tableColumn id="29" name="28" totalsRowFunction="count" dataDxfId="527" totalsRowDxfId="526"/>
    <tableColumn id="30" name="29" totalsRowFunction="count" dataDxfId="525" totalsRowDxfId="524"/>
    <tableColumn id="31" name="30" totalsRowFunction="sum" dataDxfId="523" totalsRowDxfId="522"/>
    <tableColumn id="32" name="31" totalsRowFunction="sum" dataDxfId="521" totalsRowDxfId="520" dataCellStyle="Total"/>
    <tableColumn id="33" name="Total Days" totalsRowFunction="sum" dataDxfId="519" totalsRowDxfId="518" dataCellStyle="Total">
      <calculatedColumnFormula>COUNTA(May[[#This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6.xml><?xml version="1.0" encoding="utf-8"?>
<table xmlns="http://schemas.openxmlformats.org/spreadsheetml/2006/main" id="17" name="June" displayName="June" ref="B6:AH12" totalsRowCount="1" headerRowDxfId="512" dataDxfId="511" totalsRowDxfId="510">
  <tableColumns count="33">
    <tableColumn id="1" name="Employee Name" totalsRowFunction="custom" dataDxfId="509" totalsRowDxfId="508" dataCellStyle="Employee">
      <totalsRowFormula>MonthName&amp;" Total"</totalsRowFormula>
    </tableColumn>
    <tableColumn id="2" name="1" totalsRowFunction="count" dataDxfId="507" totalsRowDxfId="506"/>
    <tableColumn id="3" name="2" totalsRowFunction="count" dataDxfId="505" totalsRowDxfId="504"/>
    <tableColumn id="4" name="3" totalsRowFunction="count" dataDxfId="503" totalsRowDxfId="502"/>
    <tableColumn id="5" name="4" totalsRowFunction="count" dataDxfId="501" totalsRowDxfId="500"/>
    <tableColumn id="6" name="5" totalsRowFunction="count" dataDxfId="499" totalsRowDxfId="498"/>
    <tableColumn id="7" name="6" totalsRowFunction="count" dataDxfId="497" totalsRowDxfId="496"/>
    <tableColumn id="8" name="7" totalsRowFunction="count" dataDxfId="495" totalsRowDxfId="494"/>
    <tableColumn id="9" name="8" totalsRowFunction="count" dataDxfId="493" totalsRowDxfId="492"/>
    <tableColumn id="10" name="9" totalsRowFunction="count" dataDxfId="491" totalsRowDxfId="490"/>
    <tableColumn id="11" name="10" totalsRowFunction="count" dataDxfId="489" totalsRowDxfId="488"/>
    <tableColumn id="12" name="11" totalsRowFunction="count" dataDxfId="487" totalsRowDxfId="486"/>
    <tableColumn id="13" name="12" totalsRowFunction="count" dataDxfId="485" totalsRowDxfId="484"/>
    <tableColumn id="14" name="13" totalsRowFunction="count" dataDxfId="483" totalsRowDxfId="482"/>
    <tableColumn id="15" name="14" totalsRowFunction="count" dataDxfId="481" totalsRowDxfId="480"/>
    <tableColumn id="16" name="15" totalsRowFunction="count" dataDxfId="479" totalsRowDxfId="478"/>
    <tableColumn id="17" name="16" totalsRowFunction="count" dataDxfId="477" totalsRowDxfId="476"/>
    <tableColumn id="18" name="17" totalsRowFunction="count" dataDxfId="475" totalsRowDxfId="474"/>
    <tableColumn id="19" name="18" totalsRowFunction="count" dataDxfId="473" totalsRowDxfId="472"/>
    <tableColumn id="20" name="19" totalsRowFunction="count" dataDxfId="471" totalsRowDxfId="470"/>
    <tableColumn id="21" name="20" totalsRowFunction="count" dataDxfId="469" totalsRowDxfId="468"/>
    <tableColumn id="22" name="21" totalsRowFunction="count" dataDxfId="467" totalsRowDxfId="466"/>
    <tableColumn id="23" name="22" totalsRowFunction="count" dataDxfId="465" totalsRowDxfId="464"/>
    <tableColumn id="24" name="23" totalsRowFunction="count" dataDxfId="463" totalsRowDxfId="462"/>
    <tableColumn id="25" name="24" totalsRowFunction="count" dataDxfId="461" totalsRowDxfId="460"/>
    <tableColumn id="26" name="25" totalsRowFunction="count" dataDxfId="459" totalsRowDxfId="458"/>
    <tableColumn id="27" name="26" totalsRowFunction="count" dataDxfId="457" totalsRowDxfId="456"/>
    <tableColumn id="28" name="27" totalsRowFunction="count" dataDxfId="455" totalsRowDxfId="454"/>
    <tableColumn id="29" name="28" totalsRowFunction="count" dataDxfId="453" totalsRowDxfId="452"/>
    <tableColumn id="30" name="29" totalsRowFunction="count" dataDxfId="451" totalsRowDxfId="450"/>
    <tableColumn id="31" name="30" totalsRowFunction="sum" dataDxfId="449" totalsRowDxfId="448"/>
    <tableColumn id="32" name="31" totalsRowFunction="sum" dataDxfId="447" totalsRowDxfId="446" dataCellStyle="Total"/>
    <tableColumn id="33" name="Total Days" totalsRowFunction="sum" dataDxfId="445" totalsRowDxfId="444" dataCellStyle="Total">
      <calculatedColumnFormula>COUNTA(June[[#This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7.xml><?xml version="1.0" encoding="utf-8"?>
<table xmlns="http://schemas.openxmlformats.org/spreadsheetml/2006/main" id="18" name="July" displayName="July" ref="B6:AH12" totalsRowCount="1" headerRowDxfId="438" dataDxfId="437" totalsRowDxfId="436">
  <tableColumns count="33">
    <tableColumn id="1" name="Employee Name" totalsRowFunction="custom" dataDxfId="435" totalsRowDxfId="434" dataCellStyle="Employee">
      <totalsRowFormula>MonthName&amp;" Total"</totalsRowFormula>
    </tableColumn>
    <tableColumn id="2" name="1" totalsRowFunction="count" dataDxfId="433" totalsRowDxfId="432"/>
    <tableColumn id="3" name="2" totalsRowFunction="count" dataDxfId="431" totalsRowDxfId="430"/>
    <tableColumn id="4" name="3" totalsRowFunction="count" dataDxfId="429" totalsRowDxfId="428"/>
    <tableColumn id="5" name="4" totalsRowFunction="count" dataDxfId="427" totalsRowDxfId="426"/>
    <tableColumn id="6" name="5" totalsRowFunction="count" dataDxfId="425" totalsRowDxfId="424"/>
    <tableColumn id="7" name="6" totalsRowFunction="count" dataDxfId="423" totalsRowDxfId="422"/>
    <tableColumn id="8" name="7" totalsRowFunction="count" dataDxfId="421" totalsRowDxfId="420"/>
    <tableColumn id="9" name="8" totalsRowFunction="count" dataDxfId="419" totalsRowDxfId="418"/>
    <tableColumn id="10" name="9" totalsRowFunction="count" dataDxfId="417" totalsRowDxfId="416"/>
    <tableColumn id="11" name="10" totalsRowFunction="count" dataDxfId="415" totalsRowDxfId="414"/>
    <tableColumn id="12" name="11" totalsRowFunction="count" dataDxfId="413" totalsRowDxfId="412"/>
    <tableColumn id="13" name="12" totalsRowFunction="count" dataDxfId="411" totalsRowDxfId="410"/>
    <tableColumn id="14" name="13" totalsRowFunction="count" dataDxfId="409" totalsRowDxfId="408"/>
    <tableColumn id="15" name="14" totalsRowFunction="count" dataDxfId="407" totalsRowDxfId="406"/>
    <tableColumn id="16" name="15" totalsRowFunction="count" dataDxfId="405" totalsRowDxfId="404"/>
    <tableColumn id="17" name="16" totalsRowFunction="count" dataDxfId="403" totalsRowDxfId="402"/>
    <tableColumn id="18" name="17" totalsRowFunction="count" dataDxfId="401" totalsRowDxfId="400"/>
    <tableColumn id="19" name="18" totalsRowFunction="count" dataDxfId="399" totalsRowDxfId="398"/>
    <tableColumn id="20" name="19" totalsRowFunction="count" dataDxfId="397" totalsRowDxfId="396"/>
    <tableColumn id="21" name="20" totalsRowFunction="count" dataDxfId="395" totalsRowDxfId="394"/>
    <tableColumn id="22" name="21" totalsRowFunction="count" dataDxfId="393" totalsRowDxfId="392"/>
    <tableColumn id="23" name="22" totalsRowFunction="count" dataDxfId="391" totalsRowDxfId="390"/>
    <tableColumn id="24" name="23" totalsRowFunction="count" dataDxfId="389" totalsRowDxfId="388"/>
    <tableColumn id="25" name="24" totalsRowFunction="count" dataDxfId="387" totalsRowDxfId="386"/>
    <tableColumn id="26" name="25" totalsRowFunction="count" dataDxfId="385" totalsRowDxfId="384"/>
    <tableColumn id="27" name="26" totalsRowFunction="count" dataDxfId="383" totalsRowDxfId="382"/>
    <tableColumn id="28" name="27" totalsRowFunction="count" dataDxfId="381" totalsRowDxfId="380"/>
    <tableColumn id="29" name="28" totalsRowFunction="count" dataDxfId="379" totalsRowDxfId="378"/>
    <tableColumn id="30" name="29" totalsRowFunction="count" dataDxfId="377" totalsRowDxfId="376"/>
    <tableColumn id="31" name="30" totalsRowFunction="sum" dataDxfId="375" totalsRowDxfId="374"/>
    <tableColumn id="32" name="31" totalsRowFunction="sum" dataDxfId="373" totalsRowDxfId="372" dataCellStyle="Total"/>
    <tableColumn id="33" name="Total Days" totalsRowFunction="sum" dataDxfId="371" totalsRowDxfId="370"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8.xml><?xml version="1.0" encoding="utf-8"?>
<table xmlns="http://schemas.openxmlformats.org/spreadsheetml/2006/main" id="19" name="August" displayName="August" ref="B6:AH12" totalsRowCount="1" headerRowDxfId="364" dataDxfId="363" totalsRowDxfId="362">
  <tableColumns count="33">
    <tableColumn id="1" name="Employee Name" totalsRowFunction="custom" dataDxfId="361" totalsRowDxfId="360" dataCellStyle="Employee">
      <totalsRowFormula>MonthName&amp;" Total"</totalsRowFormula>
    </tableColumn>
    <tableColumn id="2" name="1" totalsRowFunction="count" dataDxfId="359" totalsRowDxfId="358"/>
    <tableColumn id="3" name="2" totalsRowFunction="count" dataDxfId="357" totalsRowDxfId="356"/>
    <tableColumn id="4" name="3" totalsRowFunction="count" dataDxfId="355" totalsRowDxfId="354"/>
    <tableColumn id="5" name="4" totalsRowFunction="count" dataDxfId="353" totalsRowDxfId="352"/>
    <tableColumn id="6" name="5" totalsRowFunction="count" dataDxfId="351" totalsRowDxfId="350"/>
    <tableColumn id="7" name="6" totalsRowFunction="count" dataDxfId="349" totalsRowDxfId="348"/>
    <tableColumn id="8" name="7" totalsRowFunction="count" dataDxfId="347" totalsRowDxfId="346"/>
    <tableColumn id="9" name="8" totalsRowFunction="count" dataDxfId="345" totalsRowDxfId="344"/>
    <tableColumn id="10" name="9" totalsRowFunction="count" dataDxfId="343" totalsRowDxfId="342"/>
    <tableColumn id="11" name="10" totalsRowFunction="count" dataDxfId="341" totalsRowDxfId="340"/>
    <tableColumn id="12" name="11" totalsRowFunction="count" dataDxfId="339" totalsRowDxfId="338"/>
    <tableColumn id="13" name="12" totalsRowFunction="count" dataDxfId="337" totalsRowDxfId="336"/>
    <tableColumn id="14" name="13" totalsRowFunction="count" dataDxfId="335" totalsRowDxfId="334"/>
    <tableColumn id="15" name="14" totalsRowFunction="count" dataDxfId="333" totalsRowDxfId="332"/>
    <tableColumn id="16" name="15" totalsRowFunction="count" dataDxfId="331" totalsRowDxfId="330"/>
    <tableColumn id="17" name="16" totalsRowFunction="count" dataDxfId="329" totalsRowDxfId="328"/>
    <tableColumn id="18" name="17" totalsRowFunction="count" dataDxfId="327" totalsRowDxfId="326"/>
    <tableColumn id="19" name="18" totalsRowFunction="count" dataDxfId="325" totalsRowDxfId="324"/>
    <tableColumn id="20" name="19" totalsRowFunction="count" dataDxfId="323" totalsRowDxfId="322"/>
    <tableColumn id="21" name="20" totalsRowFunction="count" dataDxfId="321" totalsRowDxfId="320"/>
    <tableColumn id="22" name="21" totalsRowFunction="count" dataDxfId="319" totalsRowDxfId="318"/>
    <tableColumn id="23" name="22" totalsRowFunction="count" dataDxfId="317" totalsRowDxfId="316"/>
    <tableColumn id="24" name="23" totalsRowFunction="count" dataDxfId="315" totalsRowDxfId="314"/>
    <tableColumn id="25" name="24" totalsRowFunction="count" dataDxfId="313" totalsRowDxfId="312"/>
    <tableColumn id="26" name="25" totalsRowFunction="count" dataDxfId="311" totalsRowDxfId="310"/>
    <tableColumn id="27" name="26" totalsRowFunction="count" dataDxfId="309" totalsRowDxfId="308"/>
    <tableColumn id="28" name="27" totalsRowFunction="count" dataDxfId="307" totalsRowDxfId="306"/>
    <tableColumn id="29" name="28" totalsRowFunction="count" dataDxfId="305" totalsRowDxfId="304"/>
    <tableColumn id="30" name="29" totalsRowFunction="count" dataDxfId="303" totalsRowDxfId="302"/>
    <tableColumn id="31" name="30" totalsRowFunction="sum" dataDxfId="301" totalsRowDxfId="300"/>
    <tableColumn id="32" name="31" totalsRowFunction="sum" dataDxfId="299" totalsRowDxfId="298" dataCellStyle="Total"/>
    <tableColumn id="33" name="Total Days" totalsRowFunction="sum" dataDxfId="297" totalsRowDxfId="296"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9.xml><?xml version="1.0" encoding="utf-8"?>
<table xmlns="http://schemas.openxmlformats.org/spreadsheetml/2006/main" id="20" name="September" displayName="September" ref="B6:AH12" totalsRowCount="1" headerRowDxfId="290" dataDxfId="289" totalsRowDxfId="288">
  <tableColumns count="33">
    <tableColumn id="1" name="Employee Name" totalsRowFunction="custom" dataDxfId="287" totalsRowDxfId="286" dataCellStyle="Employee">
      <totalsRowFormula>MonthName&amp;" Total"</totalsRowFormula>
    </tableColumn>
    <tableColumn id="2" name="1" totalsRowFunction="count" dataDxfId="285" totalsRowDxfId="284"/>
    <tableColumn id="3" name="2" totalsRowFunction="count" dataDxfId="283" totalsRowDxfId="282"/>
    <tableColumn id="4" name="3" totalsRowFunction="count" dataDxfId="281" totalsRowDxfId="280"/>
    <tableColumn id="5" name="4" totalsRowFunction="count" dataDxfId="279" totalsRowDxfId="278"/>
    <tableColumn id="6" name="5" totalsRowFunction="count" dataDxfId="277" totalsRowDxfId="276"/>
    <tableColumn id="7" name="6" totalsRowFunction="count" dataDxfId="275" totalsRowDxfId="274"/>
    <tableColumn id="8" name="7" totalsRowFunction="count" dataDxfId="273" totalsRowDxfId="272"/>
    <tableColumn id="9" name="8" totalsRowFunction="count" dataDxfId="271" totalsRowDxfId="270"/>
    <tableColumn id="10" name="9" totalsRowFunction="count" dataDxfId="269" totalsRowDxfId="268"/>
    <tableColumn id="11" name="10" totalsRowFunction="count" dataDxfId="267" totalsRowDxfId="266"/>
    <tableColumn id="12" name="11" totalsRowFunction="count" dataDxfId="265" totalsRowDxfId="264"/>
    <tableColumn id="13" name="12" totalsRowFunction="count" dataDxfId="263" totalsRowDxfId="262"/>
    <tableColumn id="14" name="13" totalsRowFunction="count" dataDxfId="261" totalsRowDxfId="260"/>
    <tableColumn id="15" name="14" totalsRowFunction="count" dataDxfId="259" totalsRowDxfId="258"/>
    <tableColumn id="16" name="15" totalsRowFunction="count" dataDxfId="257" totalsRowDxfId="256"/>
    <tableColumn id="17" name="16" totalsRowFunction="count" dataDxfId="255" totalsRowDxfId="254"/>
    <tableColumn id="18" name="17" totalsRowFunction="count" dataDxfId="253" totalsRowDxfId="252"/>
    <tableColumn id="19" name="18" totalsRowFunction="count" dataDxfId="251" totalsRowDxfId="250"/>
    <tableColumn id="20" name="19" totalsRowFunction="count" dataDxfId="249" totalsRowDxfId="248"/>
    <tableColumn id="21" name="20" totalsRowFunction="count" dataDxfId="247" totalsRowDxfId="246"/>
    <tableColumn id="22" name="21" totalsRowFunction="count" dataDxfId="245" totalsRowDxfId="244"/>
    <tableColumn id="23" name="22" totalsRowFunction="count" dataDxfId="243" totalsRowDxfId="242"/>
    <tableColumn id="24" name="23" totalsRowFunction="count" dataDxfId="241" totalsRowDxfId="240"/>
    <tableColumn id="25" name="24" totalsRowFunction="count" dataDxfId="239" totalsRowDxfId="238"/>
    <tableColumn id="26" name="25" totalsRowFunction="count" dataDxfId="237" totalsRowDxfId="236"/>
    <tableColumn id="27" name="26" totalsRowFunction="count" dataDxfId="235" totalsRowDxfId="234"/>
    <tableColumn id="28" name="27" totalsRowFunction="count" dataDxfId="233" totalsRowDxfId="232"/>
    <tableColumn id="29" name="28" totalsRowFunction="count" dataDxfId="231" totalsRowDxfId="230"/>
    <tableColumn id="30" name="29" totalsRowFunction="count" dataDxfId="229" totalsRowDxfId="228"/>
    <tableColumn id="31" name="30" totalsRowFunction="sum" dataDxfId="227" totalsRowDxfId="226"/>
    <tableColumn id="32" name="31" totalsRowFunction="sum" dataDxfId="225" totalsRowDxfId="224" dataCellStyle="Total"/>
    <tableColumn id="33" name="Total Days" totalsRowFunction="sum" dataDxfId="223" totalsRowDxfId="222" dataCellStyle="Total">
      <calculatedColumnFormula>COUNTA(September[[#This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0.xml><?xml version="1.0" encoding="utf-8"?>
<table xmlns="http://schemas.openxmlformats.org/spreadsheetml/2006/main" id="21" name="October" displayName="October" ref="B6:AH12" totalsRowCount="1" headerRowDxfId="216" dataDxfId="215" totalsRowDxfId="214">
  <tableColumns count="33">
    <tableColumn id="1" name="Employee Name" totalsRowFunction="custom" dataDxfId="213" totalsRowDxfId="212" dataCellStyle="Employee">
      <totalsRowFormula>MonthName&amp;" Total"</totalsRowFormula>
    </tableColumn>
    <tableColumn id="2" name="1" totalsRowFunction="count" dataDxfId="211" totalsRowDxfId="210"/>
    <tableColumn id="3" name="2" totalsRowFunction="count" dataDxfId="209" totalsRowDxfId="208"/>
    <tableColumn id="4" name="3" totalsRowFunction="count" dataDxfId="207" totalsRowDxfId="206"/>
    <tableColumn id="5" name="4" totalsRowFunction="count" dataDxfId="205" totalsRowDxfId="204"/>
    <tableColumn id="6" name="5" totalsRowFunction="count" dataDxfId="203" totalsRowDxfId="202"/>
    <tableColumn id="7" name="6" totalsRowFunction="count" dataDxfId="201" totalsRowDxfId="200"/>
    <tableColumn id="8" name="7" totalsRowFunction="count" dataDxfId="199" totalsRowDxfId="198"/>
    <tableColumn id="9" name="8" totalsRowFunction="count" dataDxfId="197" totalsRowDxfId="196"/>
    <tableColumn id="10" name="9" totalsRowFunction="count" dataDxfId="195" totalsRowDxfId="194"/>
    <tableColumn id="11" name="10" totalsRowFunction="count" dataDxfId="193" totalsRowDxfId="192"/>
    <tableColumn id="12" name="11" totalsRowFunction="count" dataDxfId="191" totalsRowDxfId="190"/>
    <tableColumn id="13" name="12" totalsRowFunction="count" dataDxfId="189" totalsRowDxfId="188"/>
    <tableColumn id="14" name="13" totalsRowFunction="count" dataDxfId="187" totalsRowDxfId="186"/>
    <tableColumn id="15" name="14" totalsRowFunction="count" dataDxfId="185" totalsRowDxfId="184"/>
    <tableColumn id="16" name="15" totalsRowFunction="count" dataDxfId="183" totalsRowDxfId="182"/>
    <tableColumn id="17" name="16" totalsRowFunction="count" dataDxfId="181" totalsRowDxfId="180"/>
    <tableColumn id="18" name="17" totalsRowFunction="count" dataDxfId="179" totalsRowDxfId="178"/>
    <tableColumn id="19" name="18" totalsRowFunction="count" dataDxfId="177" totalsRowDxfId="176"/>
    <tableColumn id="20" name="19" totalsRowFunction="count" dataDxfId="175" totalsRowDxfId="174"/>
    <tableColumn id="21" name="20" totalsRowFunction="count" dataDxfId="173" totalsRowDxfId="172"/>
    <tableColumn id="22" name="21" totalsRowFunction="count" dataDxfId="171" totalsRowDxfId="170"/>
    <tableColumn id="23" name="22" totalsRowFunction="count" dataDxfId="169" totalsRowDxfId="168"/>
    <tableColumn id="24" name="23" totalsRowFunction="count" dataDxfId="167" totalsRowDxfId="166"/>
    <tableColumn id="25" name="24" totalsRowFunction="count" dataDxfId="165" totalsRowDxfId="164"/>
    <tableColumn id="26" name="25" totalsRowFunction="count" dataDxfId="163" totalsRowDxfId="162"/>
    <tableColumn id="27" name="26" totalsRowFunction="count" dataDxfId="161" totalsRowDxfId="160"/>
    <tableColumn id="28" name="27" totalsRowFunction="count" dataDxfId="159" totalsRowDxfId="158"/>
    <tableColumn id="29" name="28" totalsRowFunction="count" dataDxfId="157" totalsRowDxfId="156"/>
    <tableColumn id="30" name="29" totalsRowFunction="count" dataDxfId="155" totalsRowDxfId="154"/>
    <tableColumn id="31" name="30" totalsRowFunction="sum" dataDxfId="153" totalsRowDxfId="152"/>
    <tableColumn id="32" name="31" totalsRowFunction="sum" dataDxfId="151" totalsRowDxfId="150" dataCellStyle="Total"/>
    <tableColumn id="33" name="Total Days" totalsRowFunction="sum" dataDxfId="149" totalsRowDxfId="148"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1.xml><?xml version="1.0" encoding="utf-8"?>
<table xmlns="http://schemas.openxmlformats.org/spreadsheetml/2006/main" id="22" name="November" displayName="November" ref="B6:AH12" totalsRowCount="1" headerRowDxfId="142" dataDxfId="141" totalsRowDxfId="140">
  <tableColumns count="33">
    <tableColumn id="1" name="Employee Name" totalsRowFunction="custom" dataDxfId="139" totalsRowDxfId="138" dataCellStyle="Employee">
      <totalsRowFormula>MonthName&amp;" Total"</totalsRowFormula>
    </tableColumn>
    <tableColumn id="2" name="1" totalsRowFunction="count" dataDxfId="137" totalsRowDxfId="136"/>
    <tableColumn id="3" name="2" totalsRowFunction="count" dataDxfId="135" totalsRowDxfId="134"/>
    <tableColumn id="4" name="3" totalsRowFunction="count" dataDxfId="133" totalsRowDxfId="132"/>
    <tableColumn id="5" name="4" totalsRowFunction="count" dataDxfId="131" totalsRowDxfId="130"/>
    <tableColumn id="6" name="5" totalsRowFunction="count" dataDxfId="129" totalsRowDxfId="128"/>
    <tableColumn id="7" name="6" totalsRowFunction="count" dataDxfId="127" totalsRowDxfId="126"/>
    <tableColumn id="8" name="7" totalsRowFunction="count" dataDxfId="125" totalsRowDxfId="124"/>
    <tableColumn id="9" name="8" totalsRowFunction="count" dataDxfId="123" totalsRowDxfId="122"/>
    <tableColumn id="10" name="9" totalsRowFunction="count" dataDxfId="121" totalsRowDxfId="120"/>
    <tableColumn id="11" name="10" totalsRowFunction="count" dataDxfId="119" totalsRowDxfId="118"/>
    <tableColumn id="12" name="11" totalsRowFunction="count" dataDxfId="117" totalsRowDxfId="116"/>
    <tableColumn id="13" name="12" totalsRowFunction="count" dataDxfId="115" totalsRowDxfId="114"/>
    <tableColumn id="14" name="13" totalsRowFunction="count" dataDxfId="113" totalsRowDxfId="112"/>
    <tableColumn id="15" name="14" totalsRowFunction="count" dataDxfId="111" totalsRowDxfId="110"/>
    <tableColumn id="16" name="15" totalsRowFunction="count" dataDxfId="109" totalsRowDxfId="108"/>
    <tableColumn id="17" name="16" totalsRowFunction="count" dataDxfId="107" totalsRowDxfId="106"/>
    <tableColumn id="18" name="17" totalsRowFunction="count" dataDxfId="105" totalsRowDxfId="104"/>
    <tableColumn id="19" name="18" totalsRowFunction="count" dataDxfId="103" totalsRowDxfId="102"/>
    <tableColumn id="20" name="19" totalsRowFunction="count" dataDxfId="101" totalsRowDxfId="100"/>
    <tableColumn id="21" name="20" totalsRowFunction="count" dataDxfId="99" totalsRowDxfId="98"/>
    <tableColumn id="22" name="21" totalsRowFunction="count" dataDxfId="97" totalsRowDxfId="96"/>
    <tableColumn id="23" name="22" totalsRowFunction="count" dataDxfId="95" totalsRowDxfId="94"/>
    <tableColumn id="24" name="23" totalsRowFunction="count" dataDxfId="93" totalsRowDxfId="92"/>
    <tableColumn id="25" name="24" totalsRowFunction="count" dataDxfId="91" totalsRowDxfId="90"/>
    <tableColumn id="26" name="25" totalsRowFunction="count" dataDxfId="89" totalsRowDxfId="88"/>
    <tableColumn id="27" name="26" totalsRowFunction="count" dataDxfId="87" totalsRowDxfId="86"/>
    <tableColumn id="28" name="27" totalsRowFunction="count" dataDxfId="85" totalsRowDxfId="84"/>
    <tableColumn id="29" name="28" totalsRowFunction="count" dataDxfId="83" totalsRowDxfId="82"/>
    <tableColumn id="30" name="29" totalsRowFunction="count" dataDxfId="81" totalsRowDxfId="80"/>
    <tableColumn id="31" name="30" totalsRowFunction="sum" dataDxfId="79" totalsRowDxfId="78"/>
    <tableColumn id="32" name="31" totalsRowFunction="sum" dataDxfId="77" totalsRowDxfId="76" dataCellStyle="Total"/>
    <tableColumn id="33" name="Total Days" totalsRowFunction="sum" dataDxfId="75" totalsRowDxfId="74" dataCellStyle="Total">
      <calculatedColumnFormula>COUNTA(November[[#This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2.xml><?xml version="1.0" encoding="utf-8"?>
<table xmlns="http://schemas.openxmlformats.org/spreadsheetml/2006/main" id="12" name="December" displayName="December" ref="B6:AH12" totalsRowCount="1" headerRowDxfId="68" dataDxfId="67" totalsRowDxfId="66">
  <tableColumns count="33">
    <tableColumn id="1" name="Employee Name" totalsRowFunction="custom" dataDxfId="65" totalsRowDxfId="64" dataCellStyle="Employee">
      <totalsRowFormula>MonthName&amp;" Total"</totalsRowFormula>
    </tableColumn>
    <tableColumn id="2" name="1" totalsRowFunction="count" dataDxfId="63" totalsRowDxfId="62"/>
    <tableColumn id="3" name="2" totalsRowFunction="count" dataDxfId="61" totalsRowDxfId="60"/>
    <tableColumn id="4" name="3" totalsRowFunction="count" dataDxfId="59" totalsRowDxfId="58"/>
    <tableColumn id="5" name="4" totalsRowFunction="count" dataDxfId="57" totalsRowDxfId="56"/>
    <tableColumn id="6" name="5" totalsRowFunction="count" dataDxfId="55" totalsRowDxfId="54"/>
    <tableColumn id="7" name="6" totalsRowFunction="count" dataDxfId="53" totalsRowDxfId="52"/>
    <tableColumn id="8" name="7" totalsRowFunction="count" dataDxfId="51" totalsRowDxfId="50"/>
    <tableColumn id="9" name="8" totalsRowFunction="count" dataDxfId="49" totalsRowDxfId="48"/>
    <tableColumn id="10" name="9" totalsRowFunction="count" dataDxfId="47" totalsRowDxfId="46"/>
    <tableColumn id="11" name="10" totalsRowFunction="count" dataDxfId="45" totalsRowDxfId="44"/>
    <tableColumn id="12" name="11" totalsRowFunction="count" dataDxfId="43" totalsRowDxfId="42"/>
    <tableColumn id="13" name="12" totalsRowFunction="count" dataDxfId="41" totalsRowDxfId="40"/>
    <tableColumn id="14" name="13" totalsRowFunction="count" dataDxfId="39" totalsRowDxfId="38"/>
    <tableColumn id="15" name="14" totalsRowFunction="count" dataDxfId="37" totalsRowDxfId="36"/>
    <tableColumn id="16" name="15" totalsRowFunction="count" dataDxfId="35" totalsRowDxfId="34"/>
    <tableColumn id="17" name="16" totalsRowFunction="count" dataDxfId="33" totalsRowDxfId="32"/>
    <tableColumn id="18" name="17" totalsRowFunction="count" dataDxfId="31" totalsRowDxfId="30"/>
    <tableColumn id="19" name="18" totalsRowFunction="count" dataDxfId="29" totalsRowDxfId="28"/>
    <tableColumn id="20" name="19" totalsRowFunction="count" dataDxfId="27" totalsRowDxfId="26"/>
    <tableColumn id="21" name="20" totalsRowFunction="count" dataDxfId="25" totalsRowDxfId="24"/>
    <tableColumn id="22" name="21" totalsRowFunction="count" dataDxfId="23" totalsRowDxfId="22"/>
    <tableColumn id="23" name="22" totalsRowFunction="count" dataDxfId="21" totalsRowDxfId="20"/>
    <tableColumn id="24" name="23" totalsRowFunction="count" dataDxfId="19" totalsRowDxfId="18"/>
    <tableColumn id="25" name="24" totalsRowFunction="count" dataDxfId="17" totalsRowDxfId="16"/>
    <tableColumn id="26" name="25" totalsRowFunction="count" dataDxfId="15" totalsRowDxfId="14"/>
    <tableColumn id="27" name="26" totalsRowFunction="count" dataDxfId="13" totalsRowDxfId="12"/>
    <tableColumn id="28" name="27" totalsRowFunction="count" dataDxfId="11" totalsRowDxfId="10"/>
    <tableColumn id="29" name="28" totalsRowFunction="count" dataDxfId="9" totalsRowDxfId="8"/>
    <tableColumn id="30" name="29" totalsRowFunction="count" dataDxfId="7" totalsRowDxfId="6"/>
    <tableColumn id="31" name="30" totalsRowFunction="sum" dataDxfId="5" totalsRowDxfId="4"/>
    <tableColumn id="32" name="31" totalsRowFunction="sum" dataDxfId="3" totalsRowDxfId="2" dataCellStyle="Total"/>
    <tableColumn id="33" name="Total Days" totalsRowFunction="sum" dataDxfId="1" totalsRowDxfId="0"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V=Vacation, S=Sick, P=Personal and two placeholders for custom entries"/>
    </ext>
  </extLst>
</table>
</file>

<file path=xl/tables/table13.xml><?xml version="1.0" encoding="utf-8"?>
<table xmlns="http://schemas.openxmlformats.org/spreadsheetml/2006/main" id="13" name="EmployeeName" displayName="EmployeeName" ref="B3:B8" totalsRowShown="0" dataCellStyle="Employee">
  <autoFilter ref="B3:B8"/>
  <tableColumns count="1">
    <tableColumn id="1" name="Employee Names" dataCellStyle="Employee"/>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89999084444715716"/>
    <pageSetUpPr fitToPage="1"/>
  </sheetPr>
  <dimension ref="A1:AH12"/>
  <sheetViews>
    <sheetView showGridLines="0" zoomScaleNormal="100" workbookViewId="0">
      <selection activeCell="Z11" sqref="Z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1:34" ht="50.1" customHeight="1" x14ac:dyDescent="0.25">
      <c r="A1" s="18"/>
      <c r="B1" s="14" t="s">
        <v>0</v>
      </c>
    </row>
    <row r="2" spans="1: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1:34" ht="15" customHeight="1" x14ac:dyDescent="0.25">
      <c r="AH3" s="20" t="s">
        <v>62</v>
      </c>
    </row>
    <row r="4" spans="1:34" ht="30" customHeight="1" x14ac:dyDescent="0.25">
      <c r="B4" s="12" t="s">
        <v>42</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v>2016</v>
      </c>
    </row>
    <row r="5" spans="1:34" ht="15" customHeight="1" x14ac:dyDescent="0.25">
      <c r="B5" s="12"/>
      <c r="C5" s="2" t="str">
        <f>TEXT(WEEKDAY(DATE(CalendarYear,1,1),1),"aaa")</f>
        <v>Fri</v>
      </c>
      <c r="D5" s="2" t="str">
        <f>TEXT(WEEKDAY(DATE(CalendarYear,1,2),1),"aaa")</f>
        <v>Sat</v>
      </c>
      <c r="E5" s="2" t="str">
        <f>TEXT(WEEKDAY(DATE(CalendarYear,1,3),1),"aaa")</f>
        <v>Sun</v>
      </c>
      <c r="F5" s="2" t="str">
        <f>TEXT(WEEKDAY(DATE(CalendarYear,1,4),1),"aaa")</f>
        <v>Mon</v>
      </c>
      <c r="G5" s="2" t="str">
        <f>TEXT(WEEKDAY(DATE(CalendarYear,1,5),1),"aaa")</f>
        <v>Tue</v>
      </c>
      <c r="H5" s="2" t="str">
        <f>TEXT(WEEKDAY(DATE(CalendarYear,1,6),1),"aaa")</f>
        <v>Wed</v>
      </c>
      <c r="I5" s="2" t="str">
        <f>TEXT(WEEKDAY(DATE(CalendarYear,1,7),1),"aaa")</f>
        <v>Thu</v>
      </c>
      <c r="J5" s="2" t="str">
        <f>TEXT(WEEKDAY(DATE(CalendarYear,1,8),1),"aaa")</f>
        <v>Fri</v>
      </c>
      <c r="K5" s="2" t="str">
        <f>TEXT(WEEKDAY(DATE(CalendarYear,1,9),1),"aaa")</f>
        <v>Sat</v>
      </c>
      <c r="L5" s="2" t="str">
        <f>TEXT(WEEKDAY(DATE(CalendarYear,1,10),1),"aaa")</f>
        <v>Sun</v>
      </c>
      <c r="M5" s="2" t="str">
        <f>TEXT(WEEKDAY(DATE(CalendarYear,1,11),1),"aaa")</f>
        <v>Mon</v>
      </c>
      <c r="N5" s="2" t="str">
        <f>TEXT(WEEKDAY(DATE(CalendarYear,1,12),1),"aaa")</f>
        <v>Tue</v>
      </c>
      <c r="O5" s="2" t="str">
        <f>TEXT(WEEKDAY(DATE(CalendarYear,1,13),1),"aaa")</f>
        <v>Wed</v>
      </c>
      <c r="P5" s="2" t="str">
        <f>TEXT(WEEKDAY(DATE(CalendarYear,1,14),1),"aaa")</f>
        <v>Thu</v>
      </c>
      <c r="Q5" s="2" t="str">
        <f>TEXT(WEEKDAY(DATE(CalendarYear,1,15),1),"aaa")</f>
        <v>Fri</v>
      </c>
      <c r="R5" s="2" t="str">
        <f>TEXT(WEEKDAY(DATE(CalendarYear,1,16),1),"aaa")</f>
        <v>Sat</v>
      </c>
      <c r="S5" s="2" t="str">
        <f>TEXT(WEEKDAY(DATE(CalendarYear,1,17),1),"aaa")</f>
        <v>Sun</v>
      </c>
      <c r="T5" s="2" t="str">
        <f>TEXT(WEEKDAY(DATE(CalendarYear,1,18),1),"aaa")</f>
        <v>Mon</v>
      </c>
      <c r="U5" s="2" t="str">
        <f>TEXT(WEEKDAY(DATE(CalendarYear,1,19),1),"aaa")</f>
        <v>Tue</v>
      </c>
      <c r="V5" s="2" t="str">
        <f>TEXT(WEEKDAY(DATE(CalendarYear,1,20),1),"aaa")</f>
        <v>Wed</v>
      </c>
      <c r="W5" s="2" t="str">
        <f>TEXT(WEEKDAY(DATE(CalendarYear,1,21),1),"aaa")</f>
        <v>Thu</v>
      </c>
      <c r="X5" s="2" t="str">
        <f>TEXT(WEEKDAY(DATE(CalendarYear,1,22),1),"aaa")</f>
        <v>Fri</v>
      </c>
      <c r="Y5" s="2" t="str">
        <f>TEXT(WEEKDAY(DATE(CalendarYear,1,23),1),"aaa")</f>
        <v>Sat</v>
      </c>
      <c r="Z5" s="2" t="str">
        <f>TEXT(WEEKDAY(DATE(CalendarYear,1,24),1),"aaa")</f>
        <v>Sun</v>
      </c>
      <c r="AA5" s="2" t="str">
        <f>TEXT(WEEKDAY(DATE(CalendarYear,1,25),1),"aaa")</f>
        <v>Mon</v>
      </c>
      <c r="AB5" s="2" t="str">
        <f>TEXT(WEEKDAY(DATE(CalendarYear,1,26),1),"aaa")</f>
        <v>Tue</v>
      </c>
      <c r="AC5" s="2" t="str">
        <f>TEXT(WEEKDAY(DATE(CalendarYear,1,27),1),"aaa")</f>
        <v>Wed</v>
      </c>
      <c r="AD5" s="2" t="str">
        <f>TEXT(WEEKDAY(DATE(CalendarYear,1,28),1),"aaa")</f>
        <v>Thu</v>
      </c>
      <c r="AE5" s="2" t="str">
        <f>TEXT(WEEKDAY(DATE(CalendarYear,1,29),1),"aaa")</f>
        <v>Fri</v>
      </c>
      <c r="AF5" s="2" t="str">
        <f>TEXT(WEEKDAY(DATE(CalendarYear,1,30),1),"aaa")</f>
        <v>Sat</v>
      </c>
      <c r="AG5" s="2" t="str">
        <f>TEXT(WEEKDAY(DATE(CalendarYear,1,31),1),"aaa")</f>
        <v>Sun</v>
      </c>
      <c r="AH5" s="12"/>
    </row>
    <row r="6" spans="1: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1:34" ht="30" customHeight="1" x14ac:dyDescent="0.25">
      <c r="B7" s="9" t="s">
        <v>35</v>
      </c>
      <c r="C7" s="3"/>
      <c r="D7" s="3"/>
      <c r="E7" s="3" t="s">
        <v>37</v>
      </c>
      <c r="F7" s="3" t="s">
        <v>37</v>
      </c>
      <c r="G7" s="3" t="s">
        <v>37</v>
      </c>
      <c r="H7" s="3" t="s">
        <v>37</v>
      </c>
      <c r="I7" s="3"/>
      <c r="J7" s="3"/>
      <c r="K7" s="3"/>
      <c r="L7" s="3"/>
      <c r="M7" s="3"/>
      <c r="N7" s="3"/>
      <c r="O7" s="3" t="s">
        <v>37</v>
      </c>
      <c r="P7" s="3"/>
      <c r="Q7" s="3"/>
      <c r="R7" s="3"/>
      <c r="S7" s="3"/>
      <c r="T7" s="3"/>
      <c r="U7" s="3"/>
      <c r="V7" s="3"/>
      <c r="W7" s="3"/>
      <c r="X7" s="3"/>
      <c r="Y7" s="3"/>
      <c r="Z7" s="3"/>
      <c r="AA7" s="3"/>
      <c r="AB7" s="3"/>
      <c r="AC7" s="3"/>
      <c r="AD7" s="3"/>
      <c r="AE7" s="3"/>
      <c r="AF7" s="3"/>
      <c r="AG7" s="3"/>
      <c r="AH7" s="10">
        <f>COUNTA(January!$C7:$AG7)</f>
        <v>5</v>
      </c>
    </row>
    <row r="8" spans="1:34" ht="30" customHeight="1" x14ac:dyDescent="0.25">
      <c r="B8" s="9" t="s">
        <v>38</v>
      </c>
      <c r="C8" s="3"/>
      <c r="D8" s="3"/>
      <c r="E8" s="3"/>
      <c r="F8" s="3"/>
      <c r="G8" s="3" t="s">
        <v>36</v>
      </c>
      <c r="H8" s="3" t="s">
        <v>36</v>
      </c>
      <c r="I8" s="3"/>
      <c r="J8" s="3"/>
      <c r="K8" s="3"/>
      <c r="L8" s="3"/>
      <c r="M8" s="3" t="s">
        <v>41</v>
      </c>
      <c r="N8" s="3"/>
      <c r="O8" s="3"/>
      <c r="P8" s="3"/>
      <c r="Q8" s="3"/>
      <c r="R8" s="3"/>
      <c r="S8" s="3"/>
      <c r="T8" s="3"/>
      <c r="U8" s="3"/>
      <c r="V8" s="3" t="s">
        <v>36</v>
      </c>
      <c r="W8" s="3"/>
      <c r="X8" s="3"/>
      <c r="Y8" s="3"/>
      <c r="Z8" s="3"/>
      <c r="AA8" s="3" t="s">
        <v>37</v>
      </c>
      <c r="AB8" s="3" t="s">
        <v>37</v>
      </c>
      <c r="AC8" s="3" t="s">
        <v>37</v>
      </c>
      <c r="AD8" s="3"/>
      <c r="AE8" s="3"/>
      <c r="AF8" s="3"/>
      <c r="AG8" s="3"/>
      <c r="AH8" s="10">
        <f>COUNTA(January!$C8:$AG8)</f>
        <v>7</v>
      </c>
    </row>
    <row r="9" spans="1:34" ht="30" customHeight="1" x14ac:dyDescent="0.25">
      <c r="B9" s="9" t="s">
        <v>49</v>
      </c>
      <c r="C9" s="3"/>
      <c r="D9" s="3"/>
      <c r="E9" s="3" t="s">
        <v>41</v>
      </c>
      <c r="F9" s="3"/>
      <c r="G9" s="3"/>
      <c r="H9" s="3"/>
      <c r="I9" s="3"/>
      <c r="J9" s="3"/>
      <c r="K9" s="3"/>
      <c r="L9" s="3"/>
      <c r="M9" s="3"/>
      <c r="N9" s="3"/>
      <c r="O9" s="3"/>
      <c r="P9" s="3" t="s">
        <v>36</v>
      </c>
      <c r="Q9" s="3"/>
      <c r="R9" s="3"/>
      <c r="S9" s="3"/>
      <c r="T9" s="3"/>
      <c r="U9" s="3"/>
      <c r="V9" s="3"/>
      <c r="W9" s="3"/>
      <c r="X9" s="3"/>
      <c r="Y9" s="3"/>
      <c r="Z9" s="3"/>
      <c r="AA9" s="3"/>
      <c r="AB9" s="3"/>
      <c r="AC9" s="3"/>
      <c r="AD9" s="3"/>
      <c r="AE9" s="3" t="s">
        <v>36</v>
      </c>
      <c r="AF9" s="3"/>
      <c r="AG9" s="3"/>
      <c r="AH9" s="10">
        <f>COUNTA(January!$C9:$AG9)</f>
        <v>3</v>
      </c>
    </row>
    <row r="10" spans="1:34" ht="30" customHeight="1" x14ac:dyDescent="0.25">
      <c r="B10" s="9" t="s">
        <v>50</v>
      </c>
      <c r="C10" s="3"/>
      <c r="D10" s="3"/>
      <c r="E10" s="3"/>
      <c r="F10" s="3"/>
      <c r="G10" s="3"/>
      <c r="H10" s="3"/>
      <c r="I10" s="3" t="s">
        <v>41</v>
      </c>
      <c r="J10" s="3"/>
      <c r="K10" s="3"/>
      <c r="L10" s="3"/>
      <c r="M10" s="3"/>
      <c r="N10" s="3"/>
      <c r="O10" s="3"/>
      <c r="P10" s="3"/>
      <c r="Q10" s="3"/>
      <c r="R10" s="3"/>
      <c r="S10" s="3"/>
      <c r="T10" s="3"/>
      <c r="U10" s="3" t="s">
        <v>37</v>
      </c>
      <c r="V10" s="3" t="s">
        <v>37</v>
      </c>
      <c r="W10" s="3" t="s">
        <v>37</v>
      </c>
      <c r="X10" s="3"/>
      <c r="Y10" s="3"/>
      <c r="Z10" s="3"/>
      <c r="AA10" s="3"/>
      <c r="AB10" s="3"/>
      <c r="AC10" s="3"/>
      <c r="AD10" s="3"/>
      <c r="AE10" s="3"/>
      <c r="AF10" s="3"/>
      <c r="AG10" s="3"/>
      <c r="AH10" s="10">
        <f>COUNTA(January!$C10:$AG10)</f>
        <v>4</v>
      </c>
    </row>
    <row r="11" spans="1:34" ht="30" customHeight="1" x14ac:dyDescent="0.25">
      <c r="B11" s="9" t="s">
        <v>51</v>
      </c>
      <c r="C11" s="3"/>
      <c r="D11" s="3"/>
      <c r="E11" s="3"/>
      <c r="F11" s="3" t="s">
        <v>36</v>
      </c>
      <c r="G11" s="3" t="s">
        <v>37</v>
      </c>
      <c r="H11" s="3" t="s">
        <v>37</v>
      </c>
      <c r="I11" s="3"/>
      <c r="J11" s="3"/>
      <c r="K11" s="3"/>
      <c r="L11" s="3"/>
      <c r="M11" s="3"/>
      <c r="N11" s="3"/>
      <c r="O11" s="3"/>
      <c r="P11" s="3"/>
      <c r="Q11" s="3"/>
      <c r="R11" s="3"/>
      <c r="S11" s="3" t="s">
        <v>36</v>
      </c>
      <c r="T11" s="3"/>
      <c r="U11" s="3"/>
      <c r="V11" s="3"/>
      <c r="W11" s="3"/>
      <c r="X11" s="3"/>
      <c r="Y11" s="3"/>
      <c r="Z11" s="3" t="s">
        <v>67</v>
      </c>
      <c r="AA11" s="3"/>
      <c r="AB11" s="3"/>
      <c r="AC11" s="3"/>
      <c r="AD11" s="3"/>
      <c r="AE11" s="3"/>
      <c r="AF11" s="3"/>
      <c r="AG11" s="3" t="s">
        <v>37</v>
      </c>
      <c r="AH11" s="10">
        <f>COUNTA(January!$C11:$AG11)</f>
        <v>6</v>
      </c>
    </row>
    <row r="12" spans="1:34" ht="30" customHeight="1" x14ac:dyDescent="0.25">
      <c r="B12" s="21" t="str">
        <f>MonthName&amp;" Total"</f>
        <v>January Total</v>
      </c>
      <c r="C12" s="13">
        <f>SUBTOTAL(103,January!$C$7:$C$11)</f>
        <v>0</v>
      </c>
      <c r="D12" s="13">
        <f>SUBTOTAL(103,January!$D$7:$D$11)</f>
        <v>0</v>
      </c>
      <c r="E12" s="13">
        <f>SUBTOTAL(103,January!$E$7:$E$11)</f>
        <v>2</v>
      </c>
      <c r="F12" s="13">
        <f>SUBTOTAL(103,January!$F$7:$F$11)</f>
        <v>2</v>
      </c>
      <c r="G12" s="13">
        <f>SUBTOTAL(103,January!$G$7:$G$11)</f>
        <v>3</v>
      </c>
      <c r="H12" s="13">
        <f>SUBTOTAL(103,January!$H$7:$H$11)</f>
        <v>3</v>
      </c>
      <c r="I12" s="13">
        <f>SUBTOTAL(103,January!$I$7:$I$11)</f>
        <v>1</v>
      </c>
      <c r="J12" s="13">
        <f>SUBTOTAL(103,January!$J$7:$J$11)</f>
        <v>0</v>
      </c>
      <c r="K12" s="13">
        <f>SUBTOTAL(103,January!$K$7:$K$11)</f>
        <v>0</v>
      </c>
      <c r="L12" s="13">
        <f>SUBTOTAL(103,January!$L$7:$L$11)</f>
        <v>0</v>
      </c>
      <c r="M12" s="13">
        <f>SUBTOTAL(103,January!$M$7:$M$11)</f>
        <v>1</v>
      </c>
      <c r="N12" s="13">
        <f>SUBTOTAL(103,January!$N$7:$N$11)</f>
        <v>0</v>
      </c>
      <c r="O12" s="13">
        <f>SUBTOTAL(103,January!$O$7:$O$11)</f>
        <v>1</v>
      </c>
      <c r="P12" s="13">
        <f>SUBTOTAL(103,January!$P$7:$P$11)</f>
        <v>1</v>
      </c>
      <c r="Q12" s="13">
        <f>SUBTOTAL(103,January!$Q$7:$Q$11)</f>
        <v>0</v>
      </c>
      <c r="R12" s="13">
        <f>SUBTOTAL(103,January!$R$7:$R$11)</f>
        <v>0</v>
      </c>
      <c r="S12" s="13">
        <f>SUBTOTAL(103,January!$S$7:$S$11)</f>
        <v>1</v>
      </c>
      <c r="T12" s="13">
        <f>SUBTOTAL(103,January!$T$7:$T$11)</f>
        <v>0</v>
      </c>
      <c r="U12" s="13">
        <f>SUBTOTAL(103,January!$U$7:$U$11)</f>
        <v>1</v>
      </c>
      <c r="V12" s="13">
        <f>SUBTOTAL(103,January!$V$7:$V$11)</f>
        <v>2</v>
      </c>
      <c r="W12" s="13">
        <f>SUBTOTAL(103,January!$W$7:$W$11)</f>
        <v>1</v>
      </c>
      <c r="X12" s="13">
        <f>SUBTOTAL(103,January!$X$7:$X$11)</f>
        <v>0</v>
      </c>
      <c r="Y12" s="13">
        <f>SUBTOTAL(103,January!$Y$7:$Y$11)</f>
        <v>0</v>
      </c>
      <c r="Z12" s="13">
        <f>SUBTOTAL(103,January!$Z$7:$Z$11)</f>
        <v>1</v>
      </c>
      <c r="AA12" s="13">
        <f>SUBTOTAL(103,January!$AA$7:$AA$11)</f>
        <v>1</v>
      </c>
      <c r="AB12" s="13">
        <f>SUBTOTAL(103,January!$AB$7:$AB$11)</f>
        <v>1</v>
      </c>
      <c r="AC12" s="13">
        <f>SUBTOTAL(103,January!$AC$7:$AC$11)</f>
        <v>1</v>
      </c>
      <c r="AD12" s="13">
        <f>SUBTOTAL(103,January!$AD$7:$AD$11)</f>
        <v>0</v>
      </c>
      <c r="AE12" s="13">
        <f>SUBTOTAL(103,January!$AE$7:$AE$11)</f>
        <v>1</v>
      </c>
      <c r="AF12" s="13">
        <f>SUBTOTAL(103,January!$AF$7:$AF$11)</f>
        <v>0</v>
      </c>
      <c r="AG12" s="13">
        <f>SUBTOTAL(103,January!$AG$7:$AG$11)</f>
        <v>1</v>
      </c>
      <c r="AH12" s="13">
        <f>SUBTOTAL(109,January[Total Days])</f>
        <v>25</v>
      </c>
    </row>
  </sheetData>
  <mergeCells count="6">
    <mergeCell ref="C4:AG4"/>
    <mergeCell ref="D2:F2"/>
    <mergeCell ref="H2:J2"/>
    <mergeCell ref="L2:M2"/>
    <mergeCell ref="O2:Q2"/>
    <mergeCell ref="S2:U2"/>
  </mergeCells>
  <conditionalFormatting sqref="C7:AG11">
    <cfRule type="expression" priority="1" stopIfTrue="1">
      <formula>C7=""</formula>
    </cfRule>
    <cfRule type="expression" dxfId="888" priority="6" stopIfTrue="1">
      <formula>C7=KeyCustom2</formula>
    </cfRule>
    <cfRule type="expression" dxfId="887" priority="7" stopIfTrue="1">
      <formula>C7=KeyCustom1</formula>
    </cfRule>
    <cfRule type="expression" dxfId="886" priority="8" stopIfTrue="1">
      <formula>C7=KeySick</formula>
    </cfRule>
    <cfRule type="expression" dxfId="885" priority="9" stopIfTrue="1">
      <formula>C7=KeyPersonal</formula>
    </cfRule>
    <cfRule type="expression" dxfId="884" priority="10" stopIfTrue="1">
      <formula>C7=KeyVacation</formula>
    </cfRule>
  </conditionalFormatting>
  <conditionalFormatting sqref="AH7:AH11">
    <cfRule type="dataBar" priority="168">
      <dataBar>
        <cfvo type="num" val="0"/>
        <cfvo type="num" val="31"/>
        <color theme="2" tint="-0.249977111117893"/>
      </dataBar>
      <extLst>
        <ext xmlns:x14="http://schemas.microsoft.com/office/spreadsheetml/2009/9/main" uri="{B025F937-C7B1-47D3-B67F-A62EFF666E3E}">
          <x14:id>{ECCE2C3C-1B01-4700-B60E-DAAAB19A9C1A}</x14:id>
        </ext>
      </extLst>
    </cfRule>
  </conditionalFormatting>
  <dataValidations count="15">
    <dataValidation allowBlank="1" showInputMessage="1" showErrorMessage="1" prompt="Enter year in this cell" sqref="AH4"/>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Weekdays in this row are automatically updated for the month according to the year entered in AH4. Each day of the month is a column to note an employee's absence and absence type" sqref="C5"/>
    <dataValidation allowBlank="1" showInputMessage="1" showErrorMessage="1" prompt="Automatically calculates total number of days an employee was absent this month" sqref="AH6"/>
    <dataValidation allowBlank="1" showInputMessage="1" showErrorMessage="1" prompt="Title of the worksheet is in this cell. Update the title and each worksheet will automatically inherit the change" sqref="B1"/>
    <dataValidation allowBlank="1" showInputMessage="1" showErrorMessage="1" prompt="Month of this absence schedule. Update the year in cell AH4. Track totals by month in the last cell of the table. Enter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Employee Absence Schedule tracks employee absence by days for each month. There are 13 worksheets, 12 monthly &amp; last one for employee names. Track January absence in this worksheet" sqref="A1"/>
    <dataValidation allowBlank="1" showInputMessage="1" showErrorMessage="1" prompt="Enter year in the cell below" sqref="AH3"/>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x14:cfvo type="num">
                <xm:f>0</xm:f>
              </x14:cfvo>
              <x14:cfvo type="num">
                <xm:f>31</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749992370372631"/>
    <pageSetUpPr fitToPage="1"/>
  </sheetPr>
  <dimension ref="A1:AH12"/>
  <sheetViews>
    <sheetView showGridLines="0" zoomScaleNormal="100" workbookViewId="0">
      <selection activeCell="AH4" sqref="AH4"/>
    </sheetView>
  </sheetViews>
  <sheetFormatPr defaultColWidth="9.140625"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row>
    <row r="4" spans="2:34" ht="30" customHeight="1" x14ac:dyDescent="0.25">
      <c r="B4" s="12" t="s">
        <v>48</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TEXT(WEEKDAY(DATE(CalendarYear,2,1),1),"aaa")</f>
        <v>Mon</v>
      </c>
      <c r="D5" s="2" t="str">
        <f>TEXT(WEEKDAY(DATE(CalendarYear,2,2),1),"aaa")</f>
        <v>Tue</v>
      </c>
      <c r="E5" s="2" t="str">
        <f>TEXT(WEEKDAY(DATE(CalendarYear,2,3),1),"aaa")</f>
        <v>Wed</v>
      </c>
      <c r="F5" s="2" t="str">
        <f>TEXT(WEEKDAY(DATE(CalendarYear,2,4),1),"aaa")</f>
        <v>Thu</v>
      </c>
      <c r="G5" s="2" t="str">
        <f>TEXT(WEEKDAY(DATE(CalendarYear,2,5),1),"aaa")</f>
        <v>Fri</v>
      </c>
      <c r="H5" s="2" t="str">
        <f>TEXT(WEEKDAY(DATE(CalendarYear,2,6),1),"aaa")</f>
        <v>Sat</v>
      </c>
      <c r="I5" s="2" t="str">
        <f>TEXT(WEEKDAY(DATE(CalendarYear,2,7),1),"aaa")</f>
        <v>Sun</v>
      </c>
      <c r="J5" s="2" t="str">
        <f>TEXT(WEEKDAY(DATE(CalendarYear,2,8),1),"aaa")</f>
        <v>Mon</v>
      </c>
      <c r="K5" s="2" t="str">
        <f>TEXT(WEEKDAY(DATE(CalendarYear,2,9),1),"aaa")</f>
        <v>Tue</v>
      </c>
      <c r="L5" s="2" t="str">
        <f>TEXT(WEEKDAY(DATE(CalendarYear,2,10),1),"aaa")</f>
        <v>Wed</v>
      </c>
      <c r="M5" s="2" t="str">
        <f>TEXT(WEEKDAY(DATE(CalendarYear,2,11),1),"aaa")</f>
        <v>Thu</v>
      </c>
      <c r="N5" s="2" t="str">
        <f>TEXT(WEEKDAY(DATE(CalendarYear,2,12),1),"aaa")</f>
        <v>Fri</v>
      </c>
      <c r="O5" s="2" t="str">
        <f>TEXT(WEEKDAY(DATE(CalendarYear,2,13),1),"aaa")</f>
        <v>Sat</v>
      </c>
      <c r="P5" s="2" t="str">
        <f>TEXT(WEEKDAY(DATE(CalendarYear,2,14),1),"aaa")</f>
        <v>Sun</v>
      </c>
      <c r="Q5" s="2" t="str">
        <f>TEXT(WEEKDAY(DATE(CalendarYear,2,15),1),"aaa")</f>
        <v>Mon</v>
      </c>
      <c r="R5" s="2" t="str">
        <f>TEXT(WEEKDAY(DATE(CalendarYear,2,16),1),"aaa")</f>
        <v>Tue</v>
      </c>
      <c r="S5" s="2" t="str">
        <f>TEXT(WEEKDAY(DATE(CalendarYear,2,17),1),"aaa")</f>
        <v>Wed</v>
      </c>
      <c r="T5" s="2" t="str">
        <f>TEXT(WEEKDAY(DATE(CalendarYear,2,18),1),"aaa")</f>
        <v>Thu</v>
      </c>
      <c r="U5" s="2" t="str">
        <f>TEXT(WEEKDAY(DATE(CalendarYear,2,19),1),"aaa")</f>
        <v>Fri</v>
      </c>
      <c r="V5" s="2" t="str">
        <f>TEXT(WEEKDAY(DATE(CalendarYear,2,20),1),"aaa")</f>
        <v>Sat</v>
      </c>
      <c r="W5" s="2" t="str">
        <f>TEXT(WEEKDAY(DATE(CalendarYear,2,21),1),"aaa")</f>
        <v>Sun</v>
      </c>
      <c r="X5" s="2" t="str">
        <f>TEXT(WEEKDAY(DATE(CalendarYear,2,22),1),"aaa")</f>
        <v>Mon</v>
      </c>
      <c r="Y5" s="2" t="str">
        <f>TEXT(WEEKDAY(DATE(CalendarYear,2,23),1),"aaa")</f>
        <v>Tue</v>
      </c>
      <c r="Z5" s="2" t="str">
        <f>TEXT(WEEKDAY(DATE(CalendarYear,2,24),1),"aaa")</f>
        <v>Wed</v>
      </c>
      <c r="AA5" s="2" t="str">
        <f>TEXT(WEEKDAY(DATE(CalendarYear,2,25),1),"aaa")</f>
        <v>Thu</v>
      </c>
      <c r="AB5" s="2" t="str">
        <f>TEXT(WEEKDAY(DATE(CalendarYear,2,26),1),"aaa")</f>
        <v>Fri</v>
      </c>
      <c r="AC5" s="2" t="str">
        <f>TEXT(WEEKDAY(DATE(CalendarYear,2,27),1),"aaa")</f>
        <v>Sat</v>
      </c>
      <c r="AD5" s="2" t="str">
        <f>TEXT(WEEKDAY(DATE(CalendarYear,2,28),1),"aaa")</f>
        <v>Sun</v>
      </c>
      <c r="AE5" s="2" t="str">
        <f>TEXT(WEEKDAY(DATE(CalendarYear,2,29),1),"aaa")</f>
        <v>Mon</v>
      </c>
      <c r="AF5" s="2"/>
      <c r="AG5" s="2"/>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39</v>
      </c>
      <c r="AG6" s="3" t="s">
        <v>40</v>
      </c>
      <c r="AH6" s="16" t="s">
        <v>34</v>
      </c>
    </row>
    <row r="7" spans="2:34" ht="30" customHeight="1" x14ac:dyDescent="0.25">
      <c r="B7" s="17" t="s">
        <v>35</v>
      </c>
      <c r="C7" s="3"/>
      <c r="D7" s="3"/>
      <c r="E7" s="3" t="s">
        <v>37</v>
      </c>
      <c r="F7" s="3" t="s">
        <v>37</v>
      </c>
      <c r="G7" s="3" t="s">
        <v>37</v>
      </c>
      <c r="H7" s="3" t="s">
        <v>37</v>
      </c>
      <c r="I7" s="3"/>
      <c r="J7" s="3"/>
      <c r="K7" s="3"/>
      <c r="L7" s="3"/>
      <c r="M7" s="3"/>
      <c r="N7" s="3"/>
      <c r="O7" s="3" t="s">
        <v>37</v>
      </c>
      <c r="P7" s="3"/>
      <c r="Q7" s="3"/>
      <c r="R7" s="3"/>
      <c r="S7" s="3"/>
      <c r="T7" s="3"/>
      <c r="U7" s="3"/>
      <c r="V7" s="3"/>
      <c r="W7" s="3"/>
      <c r="X7" s="3"/>
      <c r="Y7" s="3"/>
      <c r="Z7" s="3"/>
      <c r="AA7" s="3"/>
      <c r="AB7" s="3"/>
      <c r="AC7" s="3"/>
      <c r="AD7" s="3"/>
      <c r="AE7" s="3"/>
      <c r="AF7" s="3"/>
      <c r="AG7" s="3"/>
      <c r="AH7" s="10">
        <f>COUNTA(February[[#This Row],[1]:[29]])</f>
        <v>5</v>
      </c>
    </row>
    <row r="8" spans="2:34" ht="30" customHeight="1" x14ac:dyDescent="0.25">
      <c r="B8" s="17" t="s">
        <v>38</v>
      </c>
      <c r="C8" s="3"/>
      <c r="D8" s="3"/>
      <c r="E8" s="3"/>
      <c r="F8" s="3"/>
      <c r="G8" s="3" t="s">
        <v>36</v>
      </c>
      <c r="H8" s="3" t="s">
        <v>36</v>
      </c>
      <c r="I8" s="3"/>
      <c r="J8" s="3"/>
      <c r="K8" s="3"/>
      <c r="L8" s="3"/>
      <c r="M8" s="3" t="s">
        <v>41</v>
      </c>
      <c r="N8" s="3"/>
      <c r="O8" s="3"/>
      <c r="P8" s="3"/>
      <c r="Q8" s="3"/>
      <c r="R8" s="3"/>
      <c r="S8" s="3"/>
      <c r="T8" s="3"/>
      <c r="U8" s="3"/>
      <c r="V8" s="3" t="s">
        <v>36</v>
      </c>
      <c r="W8" s="3"/>
      <c r="X8" s="3"/>
      <c r="Y8" s="3"/>
      <c r="Z8" s="3"/>
      <c r="AA8" s="3" t="s">
        <v>37</v>
      </c>
      <c r="AB8" s="3" t="s">
        <v>37</v>
      </c>
      <c r="AC8" s="3" t="s">
        <v>37</v>
      </c>
      <c r="AD8" s="3"/>
      <c r="AE8" s="3"/>
      <c r="AF8" s="3"/>
      <c r="AG8" s="3"/>
      <c r="AH8" s="10">
        <f>COUNTA(February[[#This Row],[1]:[29]])</f>
        <v>7</v>
      </c>
    </row>
    <row r="9" spans="2:34" ht="30" customHeight="1" x14ac:dyDescent="0.25">
      <c r="B9" s="17" t="s">
        <v>49</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10">
        <f>COUNTA(February[[#This Row],[1]:[29]])</f>
        <v>0</v>
      </c>
    </row>
    <row r="10" spans="2:34" ht="30" customHeight="1" x14ac:dyDescent="0.25">
      <c r="B10" s="17" t="s">
        <v>50</v>
      </c>
      <c r="C10" s="3"/>
      <c r="D10" s="3"/>
      <c r="E10" s="3" t="s">
        <v>36</v>
      </c>
      <c r="F10" s="3"/>
      <c r="G10" s="3"/>
      <c r="H10" s="3"/>
      <c r="I10" s="3"/>
      <c r="J10" s="3"/>
      <c r="K10" s="3"/>
      <c r="L10" s="3"/>
      <c r="M10" s="3"/>
      <c r="N10" s="3"/>
      <c r="O10" s="3"/>
      <c r="P10" s="3" t="s">
        <v>36</v>
      </c>
      <c r="Q10" s="3"/>
      <c r="R10" s="3"/>
      <c r="S10" s="3"/>
      <c r="T10" s="3" t="s">
        <v>41</v>
      </c>
      <c r="U10" s="3"/>
      <c r="V10" s="3"/>
      <c r="W10" s="3"/>
      <c r="X10" s="3"/>
      <c r="Y10" s="3"/>
      <c r="Z10" s="3"/>
      <c r="AA10" s="3"/>
      <c r="AB10" s="3"/>
      <c r="AC10" s="3"/>
      <c r="AD10" s="3" t="s">
        <v>36</v>
      </c>
      <c r="AE10" s="3"/>
      <c r="AF10" s="3"/>
      <c r="AG10" s="3"/>
      <c r="AH10" s="10">
        <f>COUNTA(February[[#This Row],[1]:[29]])</f>
        <v>4</v>
      </c>
    </row>
    <row r="11" spans="2:34" ht="30" customHeight="1" x14ac:dyDescent="0.25">
      <c r="B11" s="17" t="s">
        <v>51</v>
      </c>
      <c r="C11" s="3"/>
      <c r="D11" s="3"/>
      <c r="E11" s="3"/>
      <c r="F11" s="3"/>
      <c r="G11" s="3"/>
      <c r="H11" s="3"/>
      <c r="I11" s="3"/>
      <c r="J11" s="3" t="s">
        <v>37</v>
      </c>
      <c r="K11" s="3" t="s">
        <v>37</v>
      </c>
      <c r="L11" s="3" t="s">
        <v>37</v>
      </c>
      <c r="M11" s="3" t="s">
        <v>37</v>
      </c>
      <c r="N11" s="3"/>
      <c r="O11" s="3"/>
      <c r="P11" s="3"/>
      <c r="Q11" s="3"/>
      <c r="R11" s="3"/>
      <c r="S11" s="3"/>
      <c r="T11" s="3"/>
      <c r="U11" s="3"/>
      <c r="V11" s="3"/>
      <c r="W11" s="3"/>
      <c r="X11" s="3"/>
      <c r="Y11" s="3"/>
      <c r="Z11" s="3" t="s">
        <v>36</v>
      </c>
      <c r="AA11" s="3"/>
      <c r="AB11" s="3"/>
      <c r="AC11" s="3"/>
      <c r="AD11" s="3"/>
      <c r="AE11" s="3"/>
      <c r="AF11" s="3"/>
      <c r="AG11" s="3"/>
      <c r="AH11" s="10">
        <f>COUNTA(February[[#This Row],[1]:[29]])</f>
        <v>5</v>
      </c>
    </row>
    <row r="12" spans="2:34" ht="30" customHeight="1" x14ac:dyDescent="0.25">
      <c r="B12" s="21" t="str">
        <f>MonthName&amp;" Total"</f>
        <v>February Total</v>
      </c>
      <c r="C12" s="13">
        <f>SUBTOTAL(103,February[1])</f>
        <v>0</v>
      </c>
      <c r="D12" s="13">
        <f>SUBTOTAL(103,February[2])</f>
        <v>0</v>
      </c>
      <c r="E12" s="13">
        <f>SUBTOTAL(103,February[3])</f>
        <v>2</v>
      </c>
      <c r="F12" s="13">
        <f>SUBTOTAL(103,February[4])</f>
        <v>1</v>
      </c>
      <c r="G12" s="13">
        <f>SUBTOTAL(103,February[5])</f>
        <v>2</v>
      </c>
      <c r="H12" s="13">
        <f>SUBTOTAL(103,February[6])</f>
        <v>2</v>
      </c>
      <c r="I12" s="13">
        <f>SUBTOTAL(103,February[7])</f>
        <v>0</v>
      </c>
      <c r="J12" s="13">
        <f>SUBTOTAL(103,February[8])</f>
        <v>1</v>
      </c>
      <c r="K12" s="13">
        <f>SUBTOTAL(103,February[9])</f>
        <v>1</v>
      </c>
      <c r="L12" s="13">
        <f>SUBTOTAL(103,February[10])</f>
        <v>1</v>
      </c>
      <c r="M12" s="13">
        <f>SUBTOTAL(103,February[11])</f>
        <v>2</v>
      </c>
      <c r="N12" s="13">
        <f>SUBTOTAL(103,February[12])</f>
        <v>0</v>
      </c>
      <c r="O12" s="13">
        <f>SUBTOTAL(103,February[13])</f>
        <v>1</v>
      </c>
      <c r="P12" s="13">
        <f>SUBTOTAL(103,February[14])</f>
        <v>1</v>
      </c>
      <c r="Q12" s="13">
        <f>SUBTOTAL(103,February[15])</f>
        <v>0</v>
      </c>
      <c r="R12" s="13">
        <f>SUBTOTAL(103,February[16])</f>
        <v>0</v>
      </c>
      <c r="S12" s="13">
        <f>SUBTOTAL(103,February[17])</f>
        <v>0</v>
      </c>
      <c r="T12" s="13">
        <f>SUBTOTAL(103,February[18])</f>
        <v>1</v>
      </c>
      <c r="U12" s="13">
        <f>SUBTOTAL(103,February[19])</f>
        <v>0</v>
      </c>
      <c r="V12" s="13">
        <f>SUBTOTAL(103,February[20])</f>
        <v>1</v>
      </c>
      <c r="W12" s="13">
        <f>SUBTOTAL(103,February[21])</f>
        <v>0</v>
      </c>
      <c r="X12" s="13">
        <f>SUBTOTAL(103,February[22])</f>
        <v>0</v>
      </c>
      <c r="Y12" s="13">
        <f>SUBTOTAL(103,February[23])</f>
        <v>0</v>
      </c>
      <c r="Z12" s="13">
        <f>SUBTOTAL(103,February[24])</f>
        <v>1</v>
      </c>
      <c r="AA12" s="13">
        <f>SUBTOTAL(103,February[25])</f>
        <v>1</v>
      </c>
      <c r="AB12" s="13">
        <f>SUBTOTAL(103,February[26])</f>
        <v>1</v>
      </c>
      <c r="AC12" s="13">
        <f>SUBTOTAL(103,February[27])</f>
        <v>1</v>
      </c>
      <c r="AD12" s="13">
        <f>SUBTOTAL(103,February[28])</f>
        <v>1</v>
      </c>
      <c r="AE12" s="13">
        <f>SUBTOTAL(103,February[29])</f>
        <v>0</v>
      </c>
      <c r="AF12" s="13"/>
      <c r="AG12" s="13"/>
      <c r="AH12" s="13">
        <f>SUBTOTAL(109,February[Total Days])</f>
        <v>21</v>
      </c>
    </row>
  </sheetData>
  <mergeCells count="6">
    <mergeCell ref="C4:AG4"/>
    <mergeCell ref="D2:F2"/>
    <mergeCell ref="H2:J2"/>
    <mergeCell ref="L2:M2"/>
    <mergeCell ref="O2:Q2"/>
    <mergeCell ref="S2:U2"/>
  </mergeCells>
  <conditionalFormatting sqref="AE6">
    <cfRule type="expression" dxfId="815" priority="16">
      <formula>MONTH(DATE(CalendarYear,2,29))&lt;&gt;2</formula>
    </cfRule>
  </conditionalFormatting>
  <conditionalFormatting sqref="AE5">
    <cfRule type="expression" dxfId="814" priority="15">
      <formula>MONTH(DATE(CalendarYear,2,29))&lt;&gt;2</formula>
    </cfRule>
  </conditionalFormatting>
  <conditionalFormatting sqref="C7:AG11">
    <cfRule type="expression" priority="2" stopIfTrue="1">
      <formula>C7=""</formula>
    </cfRule>
    <cfRule type="expression" dxfId="813" priority="3" stopIfTrue="1">
      <formula>C7=KeyCustom2</formula>
    </cfRule>
  </conditionalFormatting>
  <conditionalFormatting sqref="C7:AG11">
    <cfRule type="expression" dxfId="812" priority="5" stopIfTrue="1">
      <formula>C7=KeyCustom1</formula>
    </cfRule>
    <cfRule type="expression" dxfId="811" priority="6" stopIfTrue="1">
      <formula>C7=KeySick</formula>
    </cfRule>
    <cfRule type="expression" dxfId="810" priority="7" stopIfTrue="1">
      <formula>C7=KeyPersonal</formula>
    </cfRule>
    <cfRule type="expression" dxfId="809" priority="8" stopIfTrue="1">
      <formula>C7=KeyVacation</formula>
    </cfRule>
  </conditionalFormatting>
  <conditionalFormatting sqref="AH7:AH11">
    <cfRule type="dataBar" priority="153">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14">
    <dataValidation allowBlank="1" showInputMessage="1" showErrorMessage="1" prompt="Automatically updated year based on year entered in January worksheet" sqref="AH4"/>
    <dataValidation allowBlank="1" showInputMessage="1" showErrorMessage="1" prompt="Track February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title is in this cell. To modify the title, update B1 on January worksheet" sqref="B1"/>
    <dataValidation allowBlank="1" showInputMessage="1" showErrorMessage="1" prompt="Month name for this absence schedule is in this cell. Absence totals for this month are in last cell of the table. Select employee names in table column B" sqref="B4"/>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Days of the month in this row are automatically generated. Enter an employee's absence and absence type in each column for each day of the month. Blank means no absence" sqref="C6"/>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14:formula1>
            <xm:f>'Employee Names'!$B$4:$B$8</xm:f>
          </x14:formula1>
          <xm:sqref>B7:B11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pageSetUpPr fitToPage="1"/>
  </sheetPr>
  <dimension ref="A1:AH12"/>
  <sheetViews>
    <sheetView showGridLines="0" zoomScaleNormal="100" workbookViewId="0">
      <selection activeCell="B4" sqref="B4"/>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52</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TEXT(WEEKDAY(DATE(CalendarYear,3,1),1),"aaa")</f>
        <v>Tue</v>
      </c>
      <c r="D5" s="2" t="str">
        <f>TEXT(WEEKDAY(DATE(CalendarYear,3,2),1),"aaa")</f>
        <v>Wed</v>
      </c>
      <c r="E5" s="2" t="str">
        <f>TEXT(WEEKDAY(DATE(CalendarYear,3,3),1),"aaa")</f>
        <v>Thu</v>
      </c>
      <c r="F5" s="2" t="str">
        <f>TEXT(WEEKDAY(DATE(CalendarYear,3,4),1),"aaa")</f>
        <v>Fri</v>
      </c>
      <c r="G5" s="2" t="str">
        <f>TEXT(WEEKDAY(DATE(CalendarYear,3,5),1),"aaa")</f>
        <v>Sat</v>
      </c>
      <c r="H5" s="2" t="str">
        <f>TEXT(WEEKDAY(DATE(CalendarYear,3,6),1),"aaa")</f>
        <v>Sun</v>
      </c>
      <c r="I5" s="2" t="str">
        <f>TEXT(WEEKDAY(DATE(CalendarYear,3,7),1),"aaa")</f>
        <v>Mon</v>
      </c>
      <c r="J5" s="2" t="str">
        <f>TEXT(WEEKDAY(DATE(CalendarYear,3,8),1),"aaa")</f>
        <v>Tue</v>
      </c>
      <c r="K5" s="2" t="str">
        <f>TEXT(WEEKDAY(DATE(CalendarYear,3,9),1),"aaa")</f>
        <v>Wed</v>
      </c>
      <c r="L5" s="2" t="str">
        <f>TEXT(WEEKDAY(DATE(CalendarYear,3,10),1),"aaa")</f>
        <v>Thu</v>
      </c>
      <c r="M5" s="2" t="str">
        <f>TEXT(WEEKDAY(DATE(CalendarYear,3,11),1),"aaa")</f>
        <v>Fri</v>
      </c>
      <c r="N5" s="2" t="str">
        <f>TEXT(WEEKDAY(DATE(CalendarYear,3,12),1),"aaa")</f>
        <v>Sat</v>
      </c>
      <c r="O5" s="2" t="str">
        <f>TEXT(WEEKDAY(DATE(CalendarYear,3,13),1),"aaa")</f>
        <v>Sun</v>
      </c>
      <c r="P5" s="2" t="str">
        <f>TEXT(WEEKDAY(DATE(CalendarYear,3,14),1),"aaa")</f>
        <v>Mon</v>
      </c>
      <c r="Q5" s="2" t="str">
        <f>TEXT(WEEKDAY(DATE(CalendarYear,3,15),1),"aaa")</f>
        <v>Tue</v>
      </c>
      <c r="R5" s="2" t="str">
        <f>TEXT(WEEKDAY(DATE(CalendarYear,3,16),1),"aaa")</f>
        <v>Wed</v>
      </c>
      <c r="S5" s="2" t="str">
        <f>TEXT(WEEKDAY(DATE(CalendarYear,3,17),1),"aaa")</f>
        <v>Thu</v>
      </c>
      <c r="T5" s="2" t="str">
        <f>TEXT(WEEKDAY(DATE(CalendarYear,3,18),1),"aaa")</f>
        <v>Fri</v>
      </c>
      <c r="U5" s="2" t="str">
        <f>TEXT(WEEKDAY(DATE(CalendarYear,3,19),1),"aaa")</f>
        <v>Sat</v>
      </c>
      <c r="V5" s="2" t="str">
        <f>TEXT(WEEKDAY(DATE(CalendarYear,3,20),1),"aaa")</f>
        <v>Sun</v>
      </c>
      <c r="W5" s="2" t="str">
        <f>TEXT(WEEKDAY(DATE(CalendarYear,3,21),1),"aaa")</f>
        <v>Mon</v>
      </c>
      <c r="X5" s="2" t="str">
        <f>TEXT(WEEKDAY(DATE(CalendarYear,3,22),1),"aaa")</f>
        <v>Tue</v>
      </c>
      <c r="Y5" s="2" t="str">
        <f>TEXT(WEEKDAY(DATE(CalendarYear,3,23),1),"aaa")</f>
        <v>Wed</v>
      </c>
      <c r="Z5" s="2" t="str">
        <f>TEXT(WEEKDAY(DATE(CalendarYear,3,24),1),"aaa")</f>
        <v>Thu</v>
      </c>
      <c r="AA5" s="2" t="str">
        <f>TEXT(WEEKDAY(DATE(CalendarYear,3,25),1),"aaa")</f>
        <v>Fri</v>
      </c>
      <c r="AB5" s="2" t="str">
        <f>TEXT(WEEKDAY(DATE(CalendarYear,3,26),1),"aaa")</f>
        <v>Sat</v>
      </c>
      <c r="AC5" s="2" t="str">
        <f>TEXT(WEEKDAY(DATE(CalendarYear,3,27),1),"aaa")</f>
        <v>Sun</v>
      </c>
      <c r="AD5" s="2" t="str">
        <f>TEXT(WEEKDAY(DATE(CalendarYear,3,28),1),"aaa")</f>
        <v>Mon</v>
      </c>
      <c r="AE5" s="2" t="str">
        <f>TEXT(WEEKDAY(DATE(CalendarYear,3,29),1),"aaa")</f>
        <v>Tue</v>
      </c>
      <c r="AF5" s="2" t="str">
        <f>TEXT(WEEKDAY(DATE(CalendarYear,3,30),1),"aaa")</f>
        <v>Wed</v>
      </c>
      <c r="AG5" s="2" t="str">
        <f>TEXT(WEEKDAY(DATE(CalendarYear,3,31),1),"aaa")</f>
        <v>Thu</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t="s">
        <v>65</v>
      </c>
      <c r="E7" s="3" t="s">
        <v>65</v>
      </c>
      <c r="F7" s="3" t="s">
        <v>65</v>
      </c>
      <c r="G7" s="3" t="s">
        <v>66</v>
      </c>
      <c r="H7" s="3"/>
      <c r="I7" s="3"/>
      <c r="J7" s="3"/>
      <c r="K7" s="3"/>
      <c r="L7" s="3"/>
      <c r="M7" s="3"/>
      <c r="N7" s="3"/>
      <c r="O7" s="3"/>
      <c r="P7" s="3"/>
      <c r="Q7" s="3"/>
      <c r="R7" s="3"/>
      <c r="S7" s="3"/>
      <c r="T7" s="3"/>
      <c r="U7" s="3"/>
      <c r="V7" s="3"/>
      <c r="W7" s="3"/>
      <c r="X7" s="3"/>
      <c r="Y7" s="3"/>
      <c r="Z7" s="3"/>
      <c r="AA7" s="3"/>
      <c r="AB7" s="3"/>
      <c r="AC7" s="3"/>
      <c r="AD7" s="3"/>
      <c r="AE7" s="3"/>
      <c r="AF7" s="3"/>
      <c r="AG7" s="3"/>
      <c r="AH7" s="10">
        <f>COUNTA(March[[#This Row],[1]:[31]])</f>
        <v>4</v>
      </c>
    </row>
    <row r="8" spans="2:34" ht="30" customHeight="1" x14ac:dyDescent="0.25">
      <c r="B8" s="17" t="s">
        <v>38</v>
      </c>
      <c r="C8" s="3"/>
      <c r="D8" s="3"/>
      <c r="E8" s="3"/>
      <c r="F8" s="3"/>
      <c r="G8" s="3"/>
      <c r="H8" s="3"/>
      <c r="I8" s="3"/>
      <c r="J8" s="3"/>
      <c r="K8" s="3"/>
      <c r="L8" s="3"/>
      <c r="M8" s="3" t="s">
        <v>66</v>
      </c>
      <c r="N8" s="3"/>
      <c r="O8" s="3"/>
      <c r="P8" s="3"/>
      <c r="Q8" s="3"/>
      <c r="R8" s="3"/>
      <c r="S8" s="3"/>
      <c r="T8" s="3"/>
      <c r="U8" s="3"/>
      <c r="V8" s="3"/>
      <c r="W8" s="3"/>
      <c r="X8" s="3"/>
      <c r="Y8" s="3"/>
      <c r="Z8" s="3"/>
      <c r="AA8" s="3"/>
      <c r="AB8" s="3"/>
      <c r="AC8" s="3"/>
      <c r="AD8" s="3"/>
      <c r="AE8" s="3"/>
      <c r="AF8" s="3"/>
      <c r="AG8" s="3"/>
      <c r="AH8" s="10">
        <f>COUNTA(March[[#This Row],[1]:[31]])</f>
        <v>1</v>
      </c>
    </row>
    <row r="9" spans="2:34" ht="30" customHeight="1" x14ac:dyDescent="0.25">
      <c r="B9" s="17" t="s">
        <v>49</v>
      </c>
      <c r="C9" s="3"/>
      <c r="D9" s="3"/>
      <c r="E9" s="3"/>
      <c r="F9" s="3"/>
      <c r="G9" s="3"/>
      <c r="H9" s="3"/>
      <c r="I9" s="3"/>
      <c r="J9" s="3"/>
      <c r="K9" s="3"/>
      <c r="L9" s="3"/>
      <c r="M9" s="3"/>
      <c r="N9" s="3"/>
      <c r="O9" s="3"/>
      <c r="P9" s="3" t="s">
        <v>67</v>
      </c>
      <c r="Q9" s="3" t="s">
        <v>67</v>
      </c>
      <c r="R9" s="3"/>
      <c r="S9" s="3"/>
      <c r="T9" s="3"/>
      <c r="U9" s="3"/>
      <c r="V9" s="3"/>
      <c r="W9" s="3"/>
      <c r="X9" s="3"/>
      <c r="Y9" s="3"/>
      <c r="Z9" s="3"/>
      <c r="AA9" s="3"/>
      <c r="AB9" s="3"/>
      <c r="AC9" s="3"/>
      <c r="AD9" s="3"/>
      <c r="AE9" s="3"/>
      <c r="AF9" s="3"/>
      <c r="AG9" s="3"/>
      <c r="AH9" s="10">
        <f>COUNTA(March[[#This Row],[1]:[31]])</f>
        <v>2</v>
      </c>
    </row>
    <row r="10" spans="2:34" ht="30" customHeight="1" x14ac:dyDescent="0.25">
      <c r="B10" s="17" t="s">
        <v>50</v>
      </c>
      <c r="C10" s="3"/>
      <c r="D10" s="3"/>
      <c r="E10" s="3"/>
      <c r="F10" s="3"/>
      <c r="G10" s="3"/>
      <c r="H10" s="3"/>
      <c r="I10" s="3"/>
      <c r="J10" s="3"/>
      <c r="K10" s="3"/>
      <c r="L10" s="3"/>
      <c r="M10" s="3"/>
      <c r="N10" s="3"/>
      <c r="O10" s="3"/>
      <c r="P10" s="3"/>
      <c r="Q10" s="3"/>
      <c r="R10" s="3"/>
      <c r="S10" s="3"/>
      <c r="T10" s="3"/>
      <c r="U10" s="3"/>
      <c r="V10" s="3"/>
      <c r="W10" s="3"/>
      <c r="X10" s="3"/>
      <c r="Y10" s="3"/>
      <c r="Z10" s="3"/>
      <c r="AA10" s="3" t="s">
        <v>66</v>
      </c>
      <c r="AB10" s="3" t="s">
        <v>66</v>
      </c>
      <c r="AC10" s="3"/>
      <c r="AD10" s="3" t="s">
        <v>66</v>
      </c>
      <c r="AE10" s="3"/>
      <c r="AF10" s="3"/>
      <c r="AG10" s="3"/>
      <c r="AH10" s="10">
        <f>COUNTA(March[[#This Row],[1]:[31]])</f>
        <v>3</v>
      </c>
    </row>
    <row r="11" spans="2:34" ht="30" customHeight="1" x14ac:dyDescent="0.25">
      <c r="B11" s="17" t="s">
        <v>51</v>
      </c>
      <c r="C11" s="3"/>
      <c r="D11" s="3"/>
      <c r="E11" s="3"/>
      <c r="F11" s="3"/>
      <c r="G11" s="3"/>
      <c r="H11" s="3"/>
      <c r="I11" s="3"/>
      <c r="J11" s="3" t="s">
        <v>65</v>
      </c>
      <c r="K11" s="3" t="s">
        <v>65</v>
      </c>
      <c r="L11" s="3" t="s">
        <v>65</v>
      </c>
      <c r="M11" s="3" t="s">
        <v>65</v>
      </c>
      <c r="N11" s="3" t="s">
        <v>66</v>
      </c>
      <c r="O11" s="3"/>
      <c r="P11" s="3"/>
      <c r="Q11" s="3"/>
      <c r="R11" s="3"/>
      <c r="S11" s="3"/>
      <c r="T11" s="3"/>
      <c r="U11" s="3"/>
      <c r="V11" s="3"/>
      <c r="W11" s="3"/>
      <c r="X11" s="3"/>
      <c r="Y11" s="3"/>
      <c r="Z11" s="3"/>
      <c r="AA11" s="3"/>
      <c r="AB11" s="3"/>
      <c r="AC11" s="3"/>
      <c r="AD11" s="3"/>
      <c r="AE11" s="3"/>
      <c r="AF11" s="3"/>
      <c r="AG11" s="3"/>
      <c r="AH11" s="10">
        <f>COUNTA(March[[#This Row],[1]:[31]])</f>
        <v>5</v>
      </c>
    </row>
    <row r="12" spans="2:34" ht="30" customHeight="1" x14ac:dyDescent="0.25">
      <c r="B12" s="21" t="str">
        <f>MonthName&amp;" Total"</f>
        <v>March Total</v>
      </c>
      <c r="C12" s="13">
        <f>SUBTOTAL(103,March[1])</f>
        <v>0</v>
      </c>
      <c r="D12" s="13">
        <f>SUBTOTAL(103,March[2])</f>
        <v>1</v>
      </c>
      <c r="E12" s="13">
        <f>SUBTOTAL(103,March[3])</f>
        <v>1</v>
      </c>
      <c r="F12" s="13">
        <f>SUBTOTAL(103,March[4])</f>
        <v>1</v>
      </c>
      <c r="G12" s="13">
        <f>SUBTOTAL(103,March[5])</f>
        <v>1</v>
      </c>
      <c r="H12" s="13">
        <f>SUBTOTAL(103,March[6])</f>
        <v>0</v>
      </c>
      <c r="I12" s="13">
        <f>SUBTOTAL(103,March[7])</f>
        <v>0</v>
      </c>
      <c r="J12" s="13">
        <f>SUBTOTAL(103,March[8])</f>
        <v>1</v>
      </c>
      <c r="K12" s="13">
        <f>SUBTOTAL(103,March[9])</f>
        <v>1</v>
      </c>
      <c r="L12" s="13">
        <f>SUBTOTAL(103,March[10])</f>
        <v>1</v>
      </c>
      <c r="M12" s="13">
        <f>SUBTOTAL(103,March[11])</f>
        <v>2</v>
      </c>
      <c r="N12" s="13">
        <f>SUBTOTAL(103,March[12])</f>
        <v>1</v>
      </c>
      <c r="O12" s="13">
        <f>SUBTOTAL(103,March[13])</f>
        <v>0</v>
      </c>
      <c r="P12" s="13">
        <f>SUBTOTAL(103,March[14])</f>
        <v>1</v>
      </c>
      <c r="Q12" s="13">
        <f>SUBTOTAL(103,March[15])</f>
        <v>1</v>
      </c>
      <c r="R12" s="13">
        <f>SUBTOTAL(103,March[16])</f>
        <v>0</v>
      </c>
      <c r="S12" s="13">
        <f>SUBTOTAL(103,March[17])</f>
        <v>0</v>
      </c>
      <c r="T12" s="13">
        <f>SUBTOTAL(103,March[18])</f>
        <v>0</v>
      </c>
      <c r="U12" s="13">
        <f>SUBTOTAL(103,March[19])</f>
        <v>0</v>
      </c>
      <c r="V12" s="13">
        <f>SUBTOTAL(103,March[20])</f>
        <v>0</v>
      </c>
      <c r="W12" s="13">
        <f>SUBTOTAL(103,March[21])</f>
        <v>0</v>
      </c>
      <c r="X12" s="13">
        <f>SUBTOTAL(103,March[22])</f>
        <v>0</v>
      </c>
      <c r="Y12" s="13">
        <f>SUBTOTAL(103,March[23])</f>
        <v>0</v>
      </c>
      <c r="Z12" s="13">
        <f>SUBTOTAL(103,March[24])</f>
        <v>0</v>
      </c>
      <c r="AA12" s="13">
        <f>SUBTOTAL(103,March[25])</f>
        <v>1</v>
      </c>
      <c r="AB12" s="13">
        <f>SUBTOTAL(103,March[26])</f>
        <v>1</v>
      </c>
      <c r="AC12" s="13">
        <f>SUBTOTAL(103,March[27])</f>
        <v>0</v>
      </c>
      <c r="AD12" s="13">
        <f>SUBTOTAL(103,March[28])</f>
        <v>1</v>
      </c>
      <c r="AE12" s="13">
        <f>SUBTOTAL(103,March[29])</f>
        <v>0</v>
      </c>
      <c r="AF12" s="13">
        <f>SUBTOTAL(109,March[30])</f>
        <v>0</v>
      </c>
      <c r="AG12" s="13">
        <f>SUBTOTAL(109,March[31])</f>
        <v>0</v>
      </c>
      <c r="AH12" s="13">
        <f>SUBTOTAL(109,March[Total Days])</f>
        <v>15</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739" priority="2" stopIfTrue="1">
      <formula>C7=KeyCustom2</formula>
    </cfRule>
    <cfRule type="expression" dxfId="738" priority="3" stopIfTrue="1">
      <formula>C7=KeyCustom1</formula>
    </cfRule>
    <cfRule type="expression" dxfId="737" priority="4" stopIfTrue="1">
      <formula>C7=KeySick</formula>
    </cfRule>
    <cfRule type="expression" dxfId="736" priority="5" stopIfTrue="1">
      <formula>C7=KeyPersonal</formula>
    </cfRule>
    <cfRule type="expression" dxfId="735"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Automatically updated title is in this cell. To modify the title, update B1 on January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rack March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year based on year entered in January worksheet" sqref="AH4"/>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AH12"/>
  <sheetViews>
    <sheetView showGridLines="0" zoomScaleNormal="100" workbookViewId="0">
      <selection activeCell="R11" sqref="R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53</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TEXT(WEEKDAY(DATE(CalendarYear,4,1),1),"aaa")</f>
        <v>Fri</v>
      </c>
      <c r="D5" s="2" t="str">
        <f>TEXT(WEEKDAY(DATE(CalendarYear,4,2),1),"aaa")</f>
        <v>Sat</v>
      </c>
      <c r="E5" s="2" t="str">
        <f>TEXT(WEEKDAY(DATE(CalendarYear,4,3),1),"aaa")</f>
        <v>Sun</v>
      </c>
      <c r="F5" s="2" t="str">
        <f>TEXT(WEEKDAY(DATE(CalendarYear,4,4),1),"aaa")</f>
        <v>Mon</v>
      </c>
      <c r="G5" s="2" t="str">
        <f>TEXT(WEEKDAY(DATE(CalendarYear,4,5),1),"aaa")</f>
        <v>Tue</v>
      </c>
      <c r="H5" s="2" t="str">
        <f>TEXT(WEEKDAY(DATE(CalendarYear,4,6),1),"aaa")</f>
        <v>Wed</v>
      </c>
      <c r="I5" s="2" t="str">
        <f>TEXT(WEEKDAY(DATE(CalendarYear,4,7),1),"aaa")</f>
        <v>Thu</v>
      </c>
      <c r="J5" s="2" t="str">
        <f>TEXT(WEEKDAY(DATE(CalendarYear,4,8),1),"aaa")</f>
        <v>Fri</v>
      </c>
      <c r="K5" s="2" t="str">
        <f>TEXT(WEEKDAY(DATE(CalendarYear,4,9),1),"aaa")</f>
        <v>Sat</v>
      </c>
      <c r="L5" s="2" t="str">
        <f>TEXT(WEEKDAY(DATE(CalendarYear,4,10),1),"aaa")</f>
        <v>Sun</v>
      </c>
      <c r="M5" s="2" t="str">
        <f>TEXT(WEEKDAY(DATE(CalendarYear,4,11),1),"aaa")</f>
        <v>Mon</v>
      </c>
      <c r="N5" s="2" t="str">
        <f>TEXT(WEEKDAY(DATE(CalendarYear,4,12),1),"aaa")</f>
        <v>Tue</v>
      </c>
      <c r="O5" s="2" t="str">
        <f>TEXT(WEEKDAY(DATE(CalendarYear,4,13),1),"aaa")</f>
        <v>Wed</v>
      </c>
      <c r="P5" s="2" t="str">
        <f>TEXT(WEEKDAY(DATE(CalendarYear,4,14),1),"aaa")</f>
        <v>Thu</v>
      </c>
      <c r="Q5" s="2" t="str">
        <f>TEXT(WEEKDAY(DATE(CalendarYear,4,15),1),"aaa")</f>
        <v>Fri</v>
      </c>
      <c r="R5" s="2" t="str">
        <f>TEXT(WEEKDAY(DATE(CalendarYear,4,16),1),"aaa")</f>
        <v>Sat</v>
      </c>
      <c r="S5" s="2" t="str">
        <f>TEXT(WEEKDAY(DATE(CalendarYear,4,17),1),"aaa")</f>
        <v>Sun</v>
      </c>
      <c r="T5" s="2" t="str">
        <f>TEXT(WEEKDAY(DATE(CalendarYear,4,18),1),"aaa")</f>
        <v>Mon</v>
      </c>
      <c r="U5" s="2" t="str">
        <f>TEXT(WEEKDAY(DATE(CalendarYear,4,19),1),"aaa")</f>
        <v>Tue</v>
      </c>
      <c r="V5" s="2" t="str">
        <f>TEXT(WEEKDAY(DATE(CalendarYear,4,20),1),"aaa")</f>
        <v>Wed</v>
      </c>
      <c r="W5" s="2" t="str">
        <f>TEXT(WEEKDAY(DATE(CalendarYear,4,21),1),"aaa")</f>
        <v>Thu</v>
      </c>
      <c r="X5" s="2" t="str">
        <f>TEXT(WEEKDAY(DATE(CalendarYear,4,22),1),"aaa")</f>
        <v>Fri</v>
      </c>
      <c r="Y5" s="2" t="str">
        <f>TEXT(WEEKDAY(DATE(CalendarYear,4,23),1),"aaa")</f>
        <v>Sat</v>
      </c>
      <c r="Z5" s="2" t="str">
        <f>TEXT(WEEKDAY(DATE(CalendarYear,4,24),1),"aaa")</f>
        <v>Sun</v>
      </c>
      <c r="AA5" s="2" t="str">
        <f>TEXT(WEEKDAY(DATE(CalendarYear,4,25),1),"aaa")</f>
        <v>Mon</v>
      </c>
      <c r="AB5" s="2" t="str">
        <f>TEXT(WEEKDAY(DATE(CalendarYear,4,26),1),"aaa")</f>
        <v>Tue</v>
      </c>
      <c r="AC5" s="2" t="str">
        <f>TEXT(WEEKDAY(DATE(CalendarYear,4,27),1),"aaa")</f>
        <v>Wed</v>
      </c>
      <c r="AD5" s="2" t="str">
        <f>TEXT(WEEKDAY(DATE(CalendarYear,4,28),1),"aaa")</f>
        <v>Thu</v>
      </c>
      <c r="AE5" s="2" t="str">
        <f>TEXT(WEEKDAY(DATE(CalendarYear,4,29),1),"aaa")</f>
        <v>Fri</v>
      </c>
      <c r="AF5" s="2" t="str">
        <f>TEXT(WEEKDAY(DATE(CalendarYear,4,30),1),"aaa")</f>
        <v>Sat</v>
      </c>
      <c r="AG5" s="2"/>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c r="E7" s="3"/>
      <c r="F7" s="3"/>
      <c r="G7" s="3"/>
      <c r="H7" s="3"/>
      <c r="I7" s="3"/>
      <c r="J7" s="3"/>
      <c r="K7" s="3"/>
      <c r="L7" s="3"/>
      <c r="M7" s="3"/>
      <c r="N7" s="3"/>
      <c r="O7" s="3"/>
      <c r="P7" s="3"/>
      <c r="Q7" s="3"/>
      <c r="R7" s="3"/>
      <c r="S7" s="3"/>
      <c r="T7" s="3"/>
      <c r="U7" s="3"/>
      <c r="V7" s="3"/>
      <c r="W7" s="3"/>
      <c r="X7" s="3"/>
      <c r="Y7" s="3" t="s">
        <v>66</v>
      </c>
      <c r="Z7" s="3"/>
      <c r="AA7" s="3"/>
      <c r="AB7" s="3"/>
      <c r="AC7" s="3"/>
      <c r="AD7" s="3"/>
      <c r="AE7" s="3"/>
      <c r="AF7" s="3"/>
      <c r="AG7" s="3"/>
      <c r="AH7" s="10">
        <f>COUNTA(April[[#This Row],[1]:[31]])</f>
        <v>1</v>
      </c>
    </row>
    <row r="8" spans="2:34" ht="30" customHeight="1" x14ac:dyDescent="0.25">
      <c r="B8" s="17" t="s">
        <v>38</v>
      </c>
      <c r="C8" s="3"/>
      <c r="D8" s="3"/>
      <c r="E8" s="3"/>
      <c r="F8" s="3"/>
      <c r="G8" s="3"/>
      <c r="H8" s="3"/>
      <c r="I8" s="3"/>
      <c r="J8" s="3"/>
      <c r="K8" s="3"/>
      <c r="L8" s="3"/>
      <c r="M8" s="3"/>
      <c r="N8" s="3"/>
      <c r="O8" s="3"/>
      <c r="P8" s="3"/>
      <c r="Q8" s="3"/>
      <c r="R8" s="3"/>
      <c r="S8" s="3"/>
      <c r="T8" s="3"/>
      <c r="U8" s="3" t="s">
        <v>65</v>
      </c>
      <c r="V8" s="3" t="s">
        <v>65</v>
      </c>
      <c r="W8" s="3" t="s">
        <v>65</v>
      </c>
      <c r="X8" s="3"/>
      <c r="Y8" s="3"/>
      <c r="Z8" s="3"/>
      <c r="AA8" s="3"/>
      <c r="AB8" s="3"/>
      <c r="AC8" s="3"/>
      <c r="AD8" s="3"/>
      <c r="AE8" s="3"/>
      <c r="AF8" s="3"/>
      <c r="AG8" s="3"/>
      <c r="AH8" s="10">
        <f>COUNTA(April[[#This Row],[1]:[31]])</f>
        <v>3</v>
      </c>
    </row>
    <row r="9" spans="2:34" ht="30" customHeight="1" x14ac:dyDescent="0.25">
      <c r="B9" s="17" t="s">
        <v>49</v>
      </c>
      <c r="C9" s="3"/>
      <c r="D9" s="3"/>
      <c r="E9" s="3"/>
      <c r="F9" s="3" t="s">
        <v>67</v>
      </c>
      <c r="G9" s="3"/>
      <c r="H9" s="3"/>
      <c r="I9" s="3"/>
      <c r="J9" s="3"/>
      <c r="K9" s="3"/>
      <c r="L9" s="3"/>
      <c r="M9" s="3"/>
      <c r="N9" s="3"/>
      <c r="O9" s="3"/>
      <c r="P9" s="3"/>
      <c r="Q9" s="3"/>
      <c r="R9" s="3"/>
      <c r="S9" s="3"/>
      <c r="T9" s="3"/>
      <c r="U9" s="3"/>
      <c r="V9" s="3"/>
      <c r="W9" s="3"/>
      <c r="X9" s="3"/>
      <c r="Y9" s="3"/>
      <c r="Z9" s="3"/>
      <c r="AA9" s="3"/>
      <c r="AB9" s="3"/>
      <c r="AC9" s="3" t="s">
        <v>66</v>
      </c>
      <c r="AD9" s="3" t="s">
        <v>66</v>
      </c>
      <c r="AE9" s="3" t="s">
        <v>66</v>
      </c>
      <c r="AF9" s="3" t="s">
        <v>66</v>
      </c>
      <c r="AG9" s="3"/>
      <c r="AH9" s="10">
        <f>COUNTA(April[[#This Row],[1]:[31]])</f>
        <v>5</v>
      </c>
    </row>
    <row r="10" spans="2:34" ht="30" customHeight="1" x14ac:dyDescent="0.25">
      <c r="B10" s="17" t="s">
        <v>50</v>
      </c>
      <c r="C10" s="3"/>
      <c r="D10" s="3"/>
      <c r="E10" s="3"/>
      <c r="F10" s="3"/>
      <c r="G10" s="3" t="s">
        <v>65</v>
      </c>
      <c r="H10" s="3" t="s">
        <v>65</v>
      </c>
      <c r="I10" s="3" t="s">
        <v>65</v>
      </c>
      <c r="J10" s="3" t="s">
        <v>67</v>
      </c>
      <c r="K10" s="3"/>
      <c r="L10" s="3"/>
      <c r="M10" s="3"/>
      <c r="N10" s="3"/>
      <c r="O10" s="3"/>
      <c r="P10" s="3"/>
      <c r="Q10" s="3"/>
      <c r="R10" s="3"/>
      <c r="S10" s="3"/>
      <c r="T10" s="3"/>
      <c r="U10" s="3"/>
      <c r="V10" s="3"/>
      <c r="W10" s="3"/>
      <c r="X10" s="3"/>
      <c r="Y10" s="3"/>
      <c r="Z10" s="3"/>
      <c r="AA10" s="3"/>
      <c r="AB10" s="3"/>
      <c r="AC10" s="3"/>
      <c r="AD10" s="3"/>
      <c r="AE10" s="3"/>
      <c r="AF10" s="3"/>
      <c r="AG10" s="3"/>
      <c r="AH10" s="10">
        <f>COUNTA(April[[#This Row],[1]:[31]])</f>
        <v>4</v>
      </c>
    </row>
    <row r="11" spans="2:34" ht="30" customHeight="1" x14ac:dyDescent="0.25">
      <c r="B11" s="17" t="s">
        <v>51</v>
      </c>
      <c r="C11" s="3"/>
      <c r="D11" s="3"/>
      <c r="E11" s="3"/>
      <c r="F11" s="3"/>
      <c r="G11" s="3"/>
      <c r="H11" s="3"/>
      <c r="I11" s="3"/>
      <c r="J11" s="3"/>
      <c r="K11" s="3"/>
      <c r="L11" s="3"/>
      <c r="M11" s="3"/>
      <c r="N11" s="3"/>
      <c r="O11" s="3"/>
      <c r="P11" s="3" t="s">
        <v>67</v>
      </c>
      <c r="Q11" s="3" t="s">
        <v>67</v>
      </c>
      <c r="R11" s="3" t="s">
        <v>67</v>
      </c>
      <c r="S11" s="3"/>
      <c r="T11" s="3"/>
      <c r="U11" s="3"/>
      <c r="V11" s="3"/>
      <c r="W11" s="3"/>
      <c r="X11" s="3"/>
      <c r="Y11" s="3"/>
      <c r="Z11" s="3"/>
      <c r="AA11" s="3"/>
      <c r="AB11" s="3"/>
      <c r="AC11" s="3"/>
      <c r="AD11" s="3"/>
      <c r="AE11" s="3"/>
      <c r="AF11" s="3"/>
      <c r="AG11" s="3"/>
      <c r="AH11" s="10">
        <f>COUNTA(April[[#This Row],[1]:[31]])</f>
        <v>3</v>
      </c>
    </row>
    <row r="12" spans="2:34" ht="30" customHeight="1" x14ac:dyDescent="0.25">
      <c r="B12" s="21" t="str">
        <f>MonthName&amp;" Total"</f>
        <v>April Total</v>
      </c>
      <c r="C12" s="13">
        <f>SUBTOTAL(103,April[1])</f>
        <v>0</v>
      </c>
      <c r="D12" s="13">
        <f>SUBTOTAL(103,April[2])</f>
        <v>0</v>
      </c>
      <c r="E12" s="13">
        <f>SUBTOTAL(103,April[3])</f>
        <v>0</v>
      </c>
      <c r="F12" s="13">
        <f>SUBTOTAL(103,April[4])</f>
        <v>1</v>
      </c>
      <c r="G12" s="13">
        <f>SUBTOTAL(103,April[5])</f>
        <v>1</v>
      </c>
      <c r="H12" s="13">
        <f>SUBTOTAL(103,April[6])</f>
        <v>1</v>
      </c>
      <c r="I12" s="13">
        <f>SUBTOTAL(103,April[7])</f>
        <v>1</v>
      </c>
      <c r="J12" s="13">
        <f>SUBTOTAL(103,April[8])</f>
        <v>1</v>
      </c>
      <c r="K12" s="13">
        <f>SUBTOTAL(103,April[9])</f>
        <v>0</v>
      </c>
      <c r="L12" s="13">
        <f>SUBTOTAL(103,April[10])</f>
        <v>0</v>
      </c>
      <c r="M12" s="13">
        <f>SUBTOTAL(103,April[11])</f>
        <v>0</v>
      </c>
      <c r="N12" s="13">
        <f>SUBTOTAL(103,April[12])</f>
        <v>0</v>
      </c>
      <c r="O12" s="13">
        <f>SUBTOTAL(103,April[13])</f>
        <v>0</v>
      </c>
      <c r="P12" s="13">
        <f>SUBTOTAL(103,April[14])</f>
        <v>1</v>
      </c>
      <c r="Q12" s="13">
        <f>SUBTOTAL(103,April[15])</f>
        <v>1</v>
      </c>
      <c r="R12" s="13">
        <f>SUBTOTAL(103,April[16])</f>
        <v>1</v>
      </c>
      <c r="S12" s="13">
        <f>SUBTOTAL(103,April[17])</f>
        <v>0</v>
      </c>
      <c r="T12" s="13">
        <f>SUBTOTAL(103,April[18])</f>
        <v>0</v>
      </c>
      <c r="U12" s="13">
        <f>SUBTOTAL(103,April[19])</f>
        <v>1</v>
      </c>
      <c r="V12" s="13">
        <f>SUBTOTAL(103,April[20])</f>
        <v>1</v>
      </c>
      <c r="W12" s="13">
        <f>SUBTOTAL(103,April[21])</f>
        <v>1</v>
      </c>
      <c r="X12" s="13">
        <f>SUBTOTAL(103,April[22])</f>
        <v>0</v>
      </c>
      <c r="Y12" s="13">
        <f>SUBTOTAL(103,April[23])</f>
        <v>1</v>
      </c>
      <c r="Z12" s="13">
        <f>SUBTOTAL(103,April[24])</f>
        <v>0</v>
      </c>
      <c r="AA12" s="13">
        <f>SUBTOTAL(103,April[25])</f>
        <v>0</v>
      </c>
      <c r="AB12" s="13">
        <f>SUBTOTAL(103,April[26])</f>
        <v>0</v>
      </c>
      <c r="AC12" s="13">
        <f>SUBTOTAL(103,April[27])</f>
        <v>1</v>
      </c>
      <c r="AD12" s="13">
        <f>SUBTOTAL(103,April[28])</f>
        <v>1</v>
      </c>
      <c r="AE12" s="13">
        <f>SUBTOTAL(103,April[29])</f>
        <v>1</v>
      </c>
      <c r="AF12" s="13">
        <f>SUBTOTAL(109,April[30])</f>
        <v>0</v>
      </c>
      <c r="AG12" s="13">
        <f>SUBTOTAL(109,April[31])</f>
        <v>0</v>
      </c>
      <c r="AH12" s="13">
        <f>SUBTOTAL(109,April[Total Days])</f>
        <v>16</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665" priority="2" stopIfTrue="1">
      <formula>C7=KeyCustom2</formula>
    </cfRule>
    <cfRule type="expression" dxfId="664" priority="3" stopIfTrue="1">
      <formula>C7=KeyCustom1</formula>
    </cfRule>
    <cfRule type="expression" dxfId="663" priority="4" stopIfTrue="1">
      <formula>C7=KeySick</formula>
    </cfRule>
    <cfRule type="expression" dxfId="662" priority="5" stopIfTrue="1">
      <formula>C7=KeyPersonal</formula>
    </cfRule>
    <cfRule type="expression" dxfId="661"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14">
    <dataValidation allowBlank="1" showInputMessage="1" showErrorMessage="1" prompt="Automatically updated year based on year entered in January worksheet" sqref="AH4"/>
    <dataValidation allowBlank="1" showInputMessage="1" showErrorMessage="1" prompt="Automatically calculates total number of days an employee was absent this month in this column" sqref="AH6"/>
    <dataValidation allowBlank="1" showInputMessage="1" showErrorMessage="1" prompt="Track April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Automatically updated title is in this cell. To modify the title, update B1 on January worksheet" sqref="B1"/>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Weekdays in this row are automatically updated for the month according to the year in AH4. Each day of the month is a column to note an employee's absence and absence type" sqref="C5"/>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AH12"/>
  <sheetViews>
    <sheetView showGridLines="0" zoomScaleNormal="100" workbookViewId="0">
      <selection activeCell="T14" sqref="T14"/>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54</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TEXT(WEEKDAY(DATE(CalendarYear,5,1),1),"aaa")</f>
        <v>Sun</v>
      </c>
      <c r="D5" s="2" t="str">
        <f>TEXT(WEEKDAY(DATE(CalendarYear,5,2),1),"aaa")</f>
        <v>Mon</v>
      </c>
      <c r="E5" s="2" t="str">
        <f>TEXT(WEEKDAY(DATE(CalendarYear,5,3),1),"aaa")</f>
        <v>Tue</v>
      </c>
      <c r="F5" s="2" t="str">
        <f>TEXT(WEEKDAY(DATE(CalendarYear,5,4),1),"aaa")</f>
        <v>Wed</v>
      </c>
      <c r="G5" s="2" t="str">
        <f>TEXT(WEEKDAY(DATE(CalendarYear,5,5),1),"aaa")</f>
        <v>Thu</v>
      </c>
      <c r="H5" s="2" t="str">
        <f>TEXT(WEEKDAY(DATE(CalendarYear,5,6),1),"aaa")</f>
        <v>Fri</v>
      </c>
      <c r="I5" s="2" t="str">
        <f>TEXT(WEEKDAY(DATE(CalendarYear,5,7),1),"aaa")</f>
        <v>Sat</v>
      </c>
      <c r="J5" s="2" t="str">
        <f>TEXT(WEEKDAY(DATE(CalendarYear,5,8),1),"aaa")</f>
        <v>Sun</v>
      </c>
      <c r="K5" s="2" t="str">
        <f>TEXT(WEEKDAY(DATE(CalendarYear,5,9),1),"aaa")</f>
        <v>Mon</v>
      </c>
      <c r="L5" s="2" t="str">
        <f>TEXT(WEEKDAY(DATE(CalendarYear,5,10),1),"aaa")</f>
        <v>Tue</v>
      </c>
      <c r="M5" s="2" t="str">
        <f>TEXT(WEEKDAY(DATE(CalendarYear,5,11),1),"aaa")</f>
        <v>Wed</v>
      </c>
      <c r="N5" s="2" t="str">
        <f>TEXT(WEEKDAY(DATE(CalendarYear,5,12),1),"aaa")</f>
        <v>Thu</v>
      </c>
      <c r="O5" s="2" t="str">
        <f>TEXT(WEEKDAY(DATE(CalendarYear,5,13),1),"aaa")</f>
        <v>Fri</v>
      </c>
      <c r="P5" s="2" t="str">
        <f>TEXT(WEEKDAY(DATE(CalendarYear,5,14),1),"aaa")</f>
        <v>Sat</v>
      </c>
      <c r="Q5" s="2" t="str">
        <f>TEXT(WEEKDAY(DATE(CalendarYear,5,15),1),"aaa")</f>
        <v>Sun</v>
      </c>
      <c r="R5" s="2" t="str">
        <f>TEXT(WEEKDAY(DATE(CalendarYear,5,16),1),"aaa")</f>
        <v>Mon</v>
      </c>
      <c r="S5" s="2" t="str">
        <f>TEXT(WEEKDAY(DATE(CalendarYear,5,17),1),"aaa")</f>
        <v>Tue</v>
      </c>
      <c r="T5" s="2" t="str">
        <f>TEXT(WEEKDAY(DATE(CalendarYear,5,18),1),"aaa")</f>
        <v>Wed</v>
      </c>
      <c r="U5" s="2" t="str">
        <f>TEXT(WEEKDAY(DATE(CalendarYear,5,19),1),"aaa")</f>
        <v>Thu</v>
      </c>
      <c r="V5" s="2" t="str">
        <f>TEXT(WEEKDAY(DATE(CalendarYear,5,20),1),"aaa")</f>
        <v>Fri</v>
      </c>
      <c r="W5" s="2" t="str">
        <f>TEXT(WEEKDAY(DATE(CalendarYear,5,21),1),"aaa")</f>
        <v>Sat</v>
      </c>
      <c r="X5" s="2" t="str">
        <f>TEXT(WEEKDAY(DATE(CalendarYear,5,22),1),"aaa")</f>
        <v>Sun</v>
      </c>
      <c r="Y5" s="2" t="str">
        <f>TEXT(WEEKDAY(DATE(CalendarYear,5,23),1),"aaa")</f>
        <v>Mon</v>
      </c>
      <c r="Z5" s="2" t="str">
        <f>TEXT(WEEKDAY(DATE(CalendarYear,5,24),1),"aaa")</f>
        <v>Tue</v>
      </c>
      <c r="AA5" s="2" t="str">
        <f>TEXT(WEEKDAY(DATE(CalendarYear,5,25),1),"aaa")</f>
        <v>Wed</v>
      </c>
      <c r="AB5" s="2" t="str">
        <f>TEXT(WEEKDAY(DATE(CalendarYear,5,26),1),"aaa")</f>
        <v>Thu</v>
      </c>
      <c r="AC5" s="2" t="str">
        <f>TEXT(WEEKDAY(DATE(CalendarYear,5,27),1),"aaa")</f>
        <v>Fri</v>
      </c>
      <c r="AD5" s="2" t="str">
        <f>TEXT(WEEKDAY(DATE(CalendarYear,5,28),1),"aaa")</f>
        <v>Sat</v>
      </c>
      <c r="AE5" s="2" t="str">
        <f>TEXT(WEEKDAY(DATE(CalendarYear,5,29),1),"aaa")</f>
        <v>Sun</v>
      </c>
      <c r="AF5" s="2" t="str">
        <f>TEXT(WEEKDAY(DATE(CalendarYear,5,30),1),"aaa")</f>
        <v>Mon</v>
      </c>
      <c r="AG5" s="2" t="str">
        <f>TEXT(WEEKDAY(DATE(CalendarYear,5,31),1),"aaa")</f>
        <v>Tue</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t="s">
        <v>65</v>
      </c>
      <c r="E7" s="3" t="s">
        <v>65</v>
      </c>
      <c r="F7" s="3" t="s">
        <v>65</v>
      </c>
      <c r="G7" s="3"/>
      <c r="H7" s="3"/>
      <c r="I7" s="3"/>
      <c r="J7" s="3"/>
      <c r="K7" s="3"/>
      <c r="L7" s="3"/>
      <c r="M7" s="3"/>
      <c r="N7" s="3"/>
      <c r="O7" s="3"/>
      <c r="P7" s="3"/>
      <c r="Q7" s="3"/>
      <c r="R7" s="3"/>
      <c r="S7" s="3"/>
      <c r="T7" s="3"/>
      <c r="U7" s="3"/>
      <c r="V7" s="3"/>
      <c r="W7" s="3"/>
      <c r="X7" s="3"/>
      <c r="Y7" s="3"/>
      <c r="Z7" s="3"/>
      <c r="AA7" s="3"/>
      <c r="AB7" s="3" t="s">
        <v>67</v>
      </c>
      <c r="AC7" s="3" t="s">
        <v>67</v>
      </c>
      <c r="AD7" s="3"/>
      <c r="AE7" s="3"/>
      <c r="AF7" s="3"/>
      <c r="AG7" s="3"/>
      <c r="AH7" s="10">
        <f>COUNTA(May[[#This Row],[1]:[31]])</f>
        <v>5</v>
      </c>
    </row>
    <row r="8" spans="2:34" ht="30" customHeight="1" x14ac:dyDescent="0.25">
      <c r="B8" s="17" t="s">
        <v>38</v>
      </c>
      <c r="C8" s="3"/>
      <c r="D8" s="3"/>
      <c r="E8" s="3"/>
      <c r="F8" s="3"/>
      <c r="G8" s="3"/>
      <c r="H8" s="3"/>
      <c r="I8" s="3"/>
      <c r="J8" s="3"/>
      <c r="K8" s="3"/>
      <c r="L8" s="3" t="s">
        <v>67</v>
      </c>
      <c r="M8" s="3" t="s">
        <v>67</v>
      </c>
      <c r="N8" s="3"/>
      <c r="O8" s="3"/>
      <c r="P8" s="3"/>
      <c r="Q8" s="3"/>
      <c r="R8" s="3"/>
      <c r="S8" s="3"/>
      <c r="T8" s="3"/>
      <c r="U8" s="3"/>
      <c r="V8" s="3"/>
      <c r="W8" s="3" t="s">
        <v>66</v>
      </c>
      <c r="X8" s="3"/>
      <c r="Y8" s="3" t="s">
        <v>66</v>
      </c>
      <c r="Z8" s="3"/>
      <c r="AA8" s="3"/>
      <c r="AB8" s="3"/>
      <c r="AC8" s="3"/>
      <c r="AD8" s="3"/>
      <c r="AE8" s="3"/>
      <c r="AF8" s="3"/>
      <c r="AG8" s="3"/>
      <c r="AH8" s="10">
        <f>COUNTA(May[[#This Row],[1]:[31]])</f>
        <v>4</v>
      </c>
    </row>
    <row r="9" spans="2:34" ht="30" customHeight="1" x14ac:dyDescent="0.25">
      <c r="B9" s="17" t="s">
        <v>49</v>
      </c>
      <c r="C9" s="3"/>
      <c r="D9" s="3"/>
      <c r="E9" s="3"/>
      <c r="F9" s="3"/>
      <c r="G9" s="3" t="s">
        <v>65</v>
      </c>
      <c r="H9" s="3" t="s">
        <v>65</v>
      </c>
      <c r="I9" s="3" t="s">
        <v>65</v>
      </c>
      <c r="J9" s="3"/>
      <c r="K9" s="3"/>
      <c r="L9" s="3"/>
      <c r="M9" s="3"/>
      <c r="N9" s="3"/>
      <c r="O9" s="3"/>
      <c r="P9" s="3"/>
      <c r="Q9" s="3"/>
      <c r="R9" s="3"/>
      <c r="S9" s="3"/>
      <c r="T9" s="3"/>
      <c r="U9" s="3"/>
      <c r="V9" s="3"/>
      <c r="W9" s="3"/>
      <c r="X9" s="3"/>
      <c r="Y9" s="3"/>
      <c r="Z9" s="3"/>
      <c r="AA9" s="3"/>
      <c r="AB9" s="3"/>
      <c r="AC9" s="3"/>
      <c r="AD9" s="3"/>
      <c r="AE9" s="3"/>
      <c r="AF9" s="3"/>
      <c r="AG9" s="3"/>
      <c r="AH9" s="10">
        <f>COUNTA(May[[#This Row],[1]:[31]])</f>
        <v>3</v>
      </c>
    </row>
    <row r="10" spans="2:34" ht="30" customHeight="1" x14ac:dyDescent="0.25">
      <c r="B10" s="17" t="s">
        <v>50</v>
      </c>
      <c r="C10" s="3"/>
      <c r="D10" s="3" t="s">
        <v>67</v>
      </c>
      <c r="E10" s="3" t="s">
        <v>67</v>
      </c>
      <c r="F10" s="3"/>
      <c r="G10" s="3"/>
      <c r="H10" s="3"/>
      <c r="I10" s="3"/>
      <c r="J10" s="3"/>
      <c r="K10" s="3"/>
      <c r="L10" s="3"/>
      <c r="M10" s="3"/>
      <c r="N10" s="3"/>
      <c r="O10" s="3"/>
      <c r="P10" s="3"/>
      <c r="Q10" s="3"/>
      <c r="R10" s="3"/>
      <c r="S10" s="3"/>
      <c r="T10" s="3"/>
      <c r="U10" s="3"/>
      <c r="V10" s="3"/>
      <c r="W10" s="3"/>
      <c r="X10" s="3"/>
      <c r="Y10" s="3"/>
      <c r="Z10" s="3" t="s">
        <v>66</v>
      </c>
      <c r="AA10" s="3" t="s">
        <v>66</v>
      </c>
      <c r="AB10" s="3"/>
      <c r="AC10" s="3"/>
      <c r="AD10" s="3"/>
      <c r="AE10" s="3"/>
      <c r="AF10" s="3" t="s">
        <v>65</v>
      </c>
      <c r="AG10" s="3" t="s">
        <v>65</v>
      </c>
      <c r="AH10" s="10">
        <f>COUNTA(May[[#This Row],[1]:[31]])</f>
        <v>6</v>
      </c>
    </row>
    <row r="11" spans="2:34" ht="30" customHeight="1" x14ac:dyDescent="0.25">
      <c r="B11" s="17" t="s">
        <v>51</v>
      </c>
      <c r="C11" s="3"/>
      <c r="D11" s="3"/>
      <c r="E11" s="3"/>
      <c r="F11" s="3"/>
      <c r="G11" s="3"/>
      <c r="H11" s="3"/>
      <c r="I11" s="3"/>
      <c r="J11" s="3"/>
      <c r="K11" s="3"/>
      <c r="L11" s="3"/>
      <c r="M11" s="3"/>
      <c r="N11" s="3"/>
      <c r="O11" s="3" t="s">
        <v>66</v>
      </c>
      <c r="P11" s="3" t="s">
        <v>66</v>
      </c>
      <c r="Q11" s="3"/>
      <c r="R11" s="3" t="s">
        <v>66</v>
      </c>
      <c r="S11" s="3" t="s">
        <v>66</v>
      </c>
      <c r="T11" s="3" t="s">
        <v>66</v>
      </c>
      <c r="U11" s="3" t="s">
        <v>66</v>
      </c>
      <c r="V11" s="3"/>
      <c r="W11" s="3"/>
      <c r="X11" s="3"/>
      <c r="Y11" s="3"/>
      <c r="Z11" s="3"/>
      <c r="AA11" s="3"/>
      <c r="AB11" s="3"/>
      <c r="AC11" s="3"/>
      <c r="AD11" s="3"/>
      <c r="AE11" s="3"/>
      <c r="AF11" s="3"/>
      <c r="AG11" s="3"/>
      <c r="AH11" s="10">
        <f>COUNTA(May[[#This Row],[1]:[31]])</f>
        <v>6</v>
      </c>
    </row>
    <row r="12" spans="2:34" ht="30" customHeight="1" x14ac:dyDescent="0.25">
      <c r="B12" s="21" t="str">
        <f>MonthName&amp;" Total"</f>
        <v>May Total</v>
      </c>
      <c r="C12" s="13">
        <f>SUBTOTAL(103,May[1])</f>
        <v>0</v>
      </c>
      <c r="D12" s="13">
        <f>SUBTOTAL(103,May[2])</f>
        <v>2</v>
      </c>
      <c r="E12" s="13">
        <f>SUBTOTAL(103,May[3])</f>
        <v>2</v>
      </c>
      <c r="F12" s="13">
        <f>SUBTOTAL(103,May[4])</f>
        <v>1</v>
      </c>
      <c r="G12" s="13">
        <f>SUBTOTAL(103,May[5])</f>
        <v>1</v>
      </c>
      <c r="H12" s="13">
        <f>SUBTOTAL(103,May[6])</f>
        <v>1</v>
      </c>
      <c r="I12" s="13">
        <f>SUBTOTAL(103,May[7])</f>
        <v>1</v>
      </c>
      <c r="J12" s="13">
        <f>SUBTOTAL(103,May[8])</f>
        <v>0</v>
      </c>
      <c r="K12" s="13">
        <f>SUBTOTAL(103,May[9])</f>
        <v>0</v>
      </c>
      <c r="L12" s="13">
        <f>SUBTOTAL(103,May[10])</f>
        <v>1</v>
      </c>
      <c r="M12" s="13">
        <f>SUBTOTAL(103,May[11])</f>
        <v>1</v>
      </c>
      <c r="N12" s="13">
        <f>SUBTOTAL(103,May[12])</f>
        <v>0</v>
      </c>
      <c r="O12" s="13">
        <f>SUBTOTAL(103,May[13])</f>
        <v>1</v>
      </c>
      <c r="P12" s="13">
        <f>SUBTOTAL(103,May[14])</f>
        <v>1</v>
      </c>
      <c r="Q12" s="13">
        <f>SUBTOTAL(103,May[15])</f>
        <v>0</v>
      </c>
      <c r="R12" s="13">
        <f>SUBTOTAL(103,May[16])</f>
        <v>1</v>
      </c>
      <c r="S12" s="13">
        <f>SUBTOTAL(103,May[17])</f>
        <v>1</v>
      </c>
      <c r="T12" s="13">
        <f>SUBTOTAL(103,May[18])</f>
        <v>1</v>
      </c>
      <c r="U12" s="13">
        <f>SUBTOTAL(103,May[19])</f>
        <v>1</v>
      </c>
      <c r="V12" s="13">
        <f>SUBTOTAL(103,May[20])</f>
        <v>0</v>
      </c>
      <c r="W12" s="13">
        <f>SUBTOTAL(103,May[21])</f>
        <v>1</v>
      </c>
      <c r="X12" s="13">
        <f>SUBTOTAL(103,May[22])</f>
        <v>0</v>
      </c>
      <c r="Y12" s="13">
        <f>SUBTOTAL(103,May[23])</f>
        <v>1</v>
      </c>
      <c r="Z12" s="13">
        <f>SUBTOTAL(103,May[24])</f>
        <v>1</v>
      </c>
      <c r="AA12" s="13">
        <f>SUBTOTAL(103,May[25])</f>
        <v>1</v>
      </c>
      <c r="AB12" s="13">
        <f>SUBTOTAL(103,May[26])</f>
        <v>1</v>
      </c>
      <c r="AC12" s="13">
        <f>SUBTOTAL(103,May[27])</f>
        <v>1</v>
      </c>
      <c r="AD12" s="13">
        <f>SUBTOTAL(103,May[28])</f>
        <v>0</v>
      </c>
      <c r="AE12" s="13">
        <f>SUBTOTAL(103,May[29])</f>
        <v>0</v>
      </c>
      <c r="AF12" s="13">
        <f>SUBTOTAL(109,May[30])</f>
        <v>0</v>
      </c>
      <c r="AG12" s="13">
        <f>SUBTOTAL(109,May[31])</f>
        <v>0</v>
      </c>
      <c r="AH12" s="13">
        <f>SUBTOTAL(109,May[Total Days])</f>
        <v>24</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591" priority="2" stopIfTrue="1">
      <formula>C7=KeyCustom2</formula>
    </cfRule>
    <cfRule type="expression" dxfId="590" priority="3" stopIfTrue="1">
      <formula>C7=KeyCustom1</formula>
    </cfRule>
    <cfRule type="expression" dxfId="589" priority="4" stopIfTrue="1">
      <formula>C7=KeySick</formula>
    </cfRule>
    <cfRule type="expression" dxfId="588" priority="5" stopIfTrue="1">
      <formula>C7=KeyPersonal</formula>
    </cfRule>
    <cfRule type="expression" dxfId="587"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Automatically updated title is in this cell. To modify the title, update B1 on January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rack May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year based on year entered in January worksheet" sqref="AH4"/>
    <dataValidation allowBlank="1" showInputMessage="1" showErrorMessage="1" prompt="Weekdays in this row are automatically updated for the month according to the year in AH4. Each day of the month is a column to note an employee's absence and absence type" sqref="C5"/>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AH12"/>
  <sheetViews>
    <sheetView showGridLines="0" zoomScaleNormal="100" workbookViewId="0">
      <selection activeCell="AA11" sqref="AA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55</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TEXT(WEEKDAY(DATE(CalendarYear,6,1),1),"aaa")</f>
        <v>Wed</v>
      </c>
      <c r="D5" s="2" t="str">
        <f>TEXT(WEEKDAY(DATE(CalendarYear,6,2),1),"aaa")</f>
        <v>Thu</v>
      </c>
      <c r="E5" s="2" t="str">
        <f>TEXT(WEEKDAY(DATE(CalendarYear,6,3),1),"aaa")</f>
        <v>Fri</v>
      </c>
      <c r="F5" s="2" t="str">
        <f>TEXT(WEEKDAY(DATE(CalendarYear,6,4),1),"aaa")</f>
        <v>Sat</v>
      </c>
      <c r="G5" s="2" t="str">
        <f>TEXT(WEEKDAY(DATE(CalendarYear,6,5),1),"aaa")</f>
        <v>Sun</v>
      </c>
      <c r="H5" s="2" t="str">
        <f>TEXT(WEEKDAY(DATE(CalendarYear,6,6),1),"aaa")</f>
        <v>Mon</v>
      </c>
      <c r="I5" s="2" t="str">
        <f>TEXT(WEEKDAY(DATE(CalendarYear,6,7),1),"aaa")</f>
        <v>Tue</v>
      </c>
      <c r="J5" s="2" t="str">
        <f>TEXT(WEEKDAY(DATE(CalendarYear,6,8),1),"aaa")</f>
        <v>Wed</v>
      </c>
      <c r="K5" s="2" t="str">
        <f>TEXT(WEEKDAY(DATE(CalendarYear,6,9),1),"aaa")</f>
        <v>Thu</v>
      </c>
      <c r="L5" s="2" t="str">
        <f>TEXT(WEEKDAY(DATE(CalendarYear,6,10),1),"aaa")</f>
        <v>Fri</v>
      </c>
      <c r="M5" s="2" t="str">
        <f>TEXT(WEEKDAY(DATE(CalendarYear,6,11),1),"aaa")</f>
        <v>Sat</v>
      </c>
      <c r="N5" s="2" t="str">
        <f>TEXT(WEEKDAY(DATE(CalendarYear,6,12),1),"aaa")</f>
        <v>Sun</v>
      </c>
      <c r="O5" s="2" t="str">
        <f>TEXT(WEEKDAY(DATE(CalendarYear,6,13),1),"aaa")</f>
        <v>Mon</v>
      </c>
      <c r="P5" s="2" t="str">
        <f>TEXT(WEEKDAY(DATE(CalendarYear,6,14),1),"aaa")</f>
        <v>Tue</v>
      </c>
      <c r="Q5" s="2" t="str">
        <f>TEXT(WEEKDAY(DATE(CalendarYear,6,15),1),"aaa")</f>
        <v>Wed</v>
      </c>
      <c r="R5" s="2" t="str">
        <f>TEXT(WEEKDAY(DATE(CalendarYear,6,16),1),"aaa")</f>
        <v>Thu</v>
      </c>
      <c r="S5" s="2" t="str">
        <f>TEXT(WEEKDAY(DATE(CalendarYear,6,17),1),"aaa")</f>
        <v>Fri</v>
      </c>
      <c r="T5" s="2" t="str">
        <f>TEXT(WEEKDAY(DATE(CalendarYear,6,18),1),"aaa")</f>
        <v>Sat</v>
      </c>
      <c r="U5" s="2" t="str">
        <f>TEXT(WEEKDAY(DATE(CalendarYear,6,19),1),"aaa")</f>
        <v>Sun</v>
      </c>
      <c r="V5" s="2" t="str">
        <f>TEXT(WEEKDAY(DATE(CalendarYear,6,20),1),"aaa")</f>
        <v>Mon</v>
      </c>
      <c r="W5" s="2" t="str">
        <f>TEXT(WEEKDAY(DATE(CalendarYear,6,21),1),"aaa")</f>
        <v>Tue</v>
      </c>
      <c r="X5" s="2" t="str">
        <f>TEXT(WEEKDAY(DATE(CalendarYear,6,22),1),"aaa")</f>
        <v>Wed</v>
      </c>
      <c r="Y5" s="2" t="str">
        <f>TEXT(WEEKDAY(DATE(CalendarYear,6,23),1),"aaa")</f>
        <v>Thu</v>
      </c>
      <c r="Z5" s="2" t="str">
        <f>TEXT(WEEKDAY(DATE(CalendarYear,6,24),1),"aaa")</f>
        <v>Fri</v>
      </c>
      <c r="AA5" s="2" t="str">
        <f>TEXT(WEEKDAY(DATE(CalendarYear,6,25),1),"aaa")</f>
        <v>Sat</v>
      </c>
      <c r="AB5" s="2" t="str">
        <f>TEXT(WEEKDAY(DATE(CalendarYear,6,26),1),"aaa")</f>
        <v>Sun</v>
      </c>
      <c r="AC5" s="2" t="str">
        <f>TEXT(WEEKDAY(DATE(CalendarYear,6,27),1),"aaa")</f>
        <v>Mon</v>
      </c>
      <c r="AD5" s="2" t="str">
        <f>TEXT(WEEKDAY(DATE(CalendarYear,6,28),1),"aaa")</f>
        <v>Tue</v>
      </c>
      <c r="AE5" s="2" t="str">
        <f>TEXT(WEEKDAY(DATE(CalendarYear,6,29),1),"aaa")</f>
        <v>Wed</v>
      </c>
      <c r="AF5" s="2" t="str">
        <f>TEXT(WEEKDAY(DATE(CalendarYear,6,30),1),"aaa")</f>
        <v>Thu</v>
      </c>
      <c r="AG5" s="2"/>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c r="E7" s="3"/>
      <c r="F7" s="3"/>
      <c r="G7" s="3"/>
      <c r="H7" s="3"/>
      <c r="I7" s="3"/>
      <c r="J7" s="3"/>
      <c r="K7" s="3"/>
      <c r="L7" s="3"/>
      <c r="M7" s="3"/>
      <c r="N7" s="3"/>
      <c r="O7" s="3"/>
      <c r="P7" s="3"/>
      <c r="Q7" s="3"/>
      <c r="R7" s="3"/>
      <c r="S7" s="3"/>
      <c r="T7" s="3"/>
      <c r="U7" s="3"/>
      <c r="V7" s="3"/>
      <c r="W7" s="3"/>
      <c r="X7" s="3"/>
      <c r="Y7" s="3"/>
      <c r="Z7" s="3"/>
      <c r="AA7" s="3" t="s">
        <v>65</v>
      </c>
      <c r="AB7" s="3"/>
      <c r="AC7" s="3" t="s">
        <v>65</v>
      </c>
      <c r="AD7" s="3" t="s">
        <v>65</v>
      </c>
      <c r="AE7" s="3"/>
      <c r="AF7" s="3"/>
      <c r="AG7" s="3"/>
      <c r="AH7" s="10">
        <f>COUNTA(June[[#This Row],[1]:[31]])</f>
        <v>3</v>
      </c>
    </row>
    <row r="8" spans="2:34" ht="30" customHeight="1" x14ac:dyDescent="0.25">
      <c r="B8" s="17" t="s">
        <v>38</v>
      </c>
      <c r="C8" s="3"/>
      <c r="D8" s="3"/>
      <c r="E8" s="3"/>
      <c r="F8" s="3"/>
      <c r="G8" s="3"/>
      <c r="H8" s="3" t="s">
        <v>66</v>
      </c>
      <c r="I8" s="3" t="s">
        <v>66</v>
      </c>
      <c r="J8" s="3"/>
      <c r="K8" s="3"/>
      <c r="L8" s="3"/>
      <c r="M8" s="3"/>
      <c r="N8" s="3"/>
      <c r="O8" s="3"/>
      <c r="P8" s="3"/>
      <c r="Q8" s="3"/>
      <c r="R8" s="3"/>
      <c r="S8" s="3"/>
      <c r="T8" s="3"/>
      <c r="U8" s="3"/>
      <c r="V8" s="3" t="s">
        <v>67</v>
      </c>
      <c r="W8" s="3" t="s">
        <v>67</v>
      </c>
      <c r="X8" s="3" t="s">
        <v>67</v>
      </c>
      <c r="Y8" s="3"/>
      <c r="Z8" s="3"/>
      <c r="AA8" s="3"/>
      <c r="AB8" s="3"/>
      <c r="AC8" s="3"/>
      <c r="AD8" s="3"/>
      <c r="AE8" s="3"/>
      <c r="AF8" s="3"/>
      <c r="AG8" s="3"/>
      <c r="AH8" s="10">
        <f>COUNTA(June[[#This Row],[1]:[31]])</f>
        <v>5</v>
      </c>
    </row>
    <row r="9" spans="2:34" ht="30" customHeight="1" x14ac:dyDescent="0.25">
      <c r="B9" s="17" t="s">
        <v>49</v>
      </c>
      <c r="C9" s="3"/>
      <c r="D9" s="3"/>
      <c r="E9" s="3"/>
      <c r="F9" s="3"/>
      <c r="G9" s="3"/>
      <c r="H9" s="3"/>
      <c r="I9" s="3"/>
      <c r="J9" s="3"/>
      <c r="K9" s="3"/>
      <c r="L9" s="3" t="s">
        <v>67</v>
      </c>
      <c r="M9" s="3" t="s">
        <v>65</v>
      </c>
      <c r="N9" s="3"/>
      <c r="O9" s="3" t="s">
        <v>65</v>
      </c>
      <c r="P9" s="3" t="s">
        <v>65</v>
      </c>
      <c r="Q9" s="3" t="s">
        <v>65</v>
      </c>
      <c r="R9" s="3" t="s">
        <v>65</v>
      </c>
      <c r="S9" s="3" t="s">
        <v>66</v>
      </c>
      <c r="T9" s="3" t="s">
        <v>66</v>
      </c>
      <c r="U9" s="3"/>
      <c r="V9" s="3"/>
      <c r="W9" s="3"/>
      <c r="X9" s="3"/>
      <c r="Y9" s="3"/>
      <c r="Z9" s="3"/>
      <c r="AA9" s="3"/>
      <c r="AB9" s="3"/>
      <c r="AC9" s="3"/>
      <c r="AD9" s="3"/>
      <c r="AE9" s="3"/>
      <c r="AF9" s="3"/>
      <c r="AG9" s="3"/>
      <c r="AH9" s="10">
        <f>COUNTA(June[[#This Row],[1]:[31]])</f>
        <v>8</v>
      </c>
    </row>
    <row r="10" spans="2:34" ht="30" customHeight="1" x14ac:dyDescent="0.25">
      <c r="B10" s="17" t="s">
        <v>50</v>
      </c>
      <c r="C10" s="3"/>
      <c r="D10" s="3"/>
      <c r="E10" s="3" t="s">
        <v>66</v>
      </c>
      <c r="F10" s="3" t="s">
        <v>66</v>
      </c>
      <c r="G10" s="3" t="s">
        <v>66</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10">
        <f>COUNTA(June[[#This Row],[1]:[31]])</f>
        <v>3</v>
      </c>
    </row>
    <row r="11" spans="2:34" ht="30" customHeight="1" x14ac:dyDescent="0.25">
      <c r="B11" s="17" t="s">
        <v>51</v>
      </c>
      <c r="C11" s="3"/>
      <c r="D11" s="3"/>
      <c r="E11" s="3"/>
      <c r="F11" s="3"/>
      <c r="G11" s="3"/>
      <c r="H11" s="3"/>
      <c r="I11" s="3"/>
      <c r="J11" s="3"/>
      <c r="K11" s="3"/>
      <c r="L11" s="3"/>
      <c r="M11" s="3"/>
      <c r="N11" s="3"/>
      <c r="O11" s="3"/>
      <c r="P11" s="3"/>
      <c r="Q11" s="3"/>
      <c r="R11" s="3"/>
      <c r="S11" s="3"/>
      <c r="T11" s="3"/>
      <c r="U11" s="3"/>
      <c r="V11" s="3"/>
      <c r="W11" s="3"/>
      <c r="X11" s="3"/>
      <c r="Y11" s="3"/>
      <c r="Z11" s="3"/>
      <c r="AA11" s="3" t="s">
        <v>65</v>
      </c>
      <c r="AB11" s="3"/>
      <c r="AC11" s="3" t="s">
        <v>65</v>
      </c>
      <c r="AD11" s="3" t="s">
        <v>65</v>
      </c>
      <c r="AE11" s="3" t="s">
        <v>65</v>
      </c>
      <c r="AF11" s="3" t="s">
        <v>65</v>
      </c>
      <c r="AG11" s="3" t="s">
        <v>65</v>
      </c>
      <c r="AH11" s="10">
        <f>COUNTA(June[[#This Row],[1]:[31]])</f>
        <v>6</v>
      </c>
    </row>
    <row r="12" spans="2:34" ht="30" customHeight="1" x14ac:dyDescent="0.25">
      <c r="B12" s="21" t="str">
        <f>MonthName&amp;" Total"</f>
        <v>June Total</v>
      </c>
      <c r="C12" s="13">
        <f>SUBTOTAL(103,June[1])</f>
        <v>0</v>
      </c>
      <c r="D12" s="13">
        <f>SUBTOTAL(103,June[2])</f>
        <v>0</v>
      </c>
      <c r="E12" s="13">
        <f>SUBTOTAL(103,June[3])</f>
        <v>1</v>
      </c>
      <c r="F12" s="13">
        <f>SUBTOTAL(103,June[4])</f>
        <v>1</v>
      </c>
      <c r="G12" s="13">
        <f>SUBTOTAL(103,June[5])</f>
        <v>1</v>
      </c>
      <c r="H12" s="13">
        <f>SUBTOTAL(103,June[6])</f>
        <v>1</v>
      </c>
      <c r="I12" s="13">
        <f>SUBTOTAL(103,June[7])</f>
        <v>1</v>
      </c>
      <c r="J12" s="13">
        <f>SUBTOTAL(103,June[8])</f>
        <v>0</v>
      </c>
      <c r="K12" s="13">
        <f>SUBTOTAL(103,June[9])</f>
        <v>0</v>
      </c>
      <c r="L12" s="13">
        <f>SUBTOTAL(103,June[10])</f>
        <v>1</v>
      </c>
      <c r="M12" s="13">
        <f>SUBTOTAL(103,June[11])</f>
        <v>1</v>
      </c>
      <c r="N12" s="13">
        <f>SUBTOTAL(103,June[12])</f>
        <v>0</v>
      </c>
      <c r="O12" s="13">
        <f>SUBTOTAL(103,June[13])</f>
        <v>1</v>
      </c>
      <c r="P12" s="13">
        <f>SUBTOTAL(103,June[14])</f>
        <v>1</v>
      </c>
      <c r="Q12" s="13">
        <f>SUBTOTAL(103,June[15])</f>
        <v>1</v>
      </c>
      <c r="R12" s="13">
        <f>SUBTOTAL(103,June[16])</f>
        <v>1</v>
      </c>
      <c r="S12" s="13">
        <f>SUBTOTAL(103,June[17])</f>
        <v>1</v>
      </c>
      <c r="T12" s="13">
        <f>SUBTOTAL(103,June[18])</f>
        <v>1</v>
      </c>
      <c r="U12" s="13">
        <f>SUBTOTAL(103,June[19])</f>
        <v>0</v>
      </c>
      <c r="V12" s="13">
        <f>SUBTOTAL(103,June[20])</f>
        <v>1</v>
      </c>
      <c r="W12" s="13">
        <f>SUBTOTAL(103,June[21])</f>
        <v>1</v>
      </c>
      <c r="X12" s="13">
        <f>SUBTOTAL(103,June[22])</f>
        <v>1</v>
      </c>
      <c r="Y12" s="13">
        <f>SUBTOTAL(103,June[23])</f>
        <v>0</v>
      </c>
      <c r="Z12" s="13">
        <f>SUBTOTAL(103,June[24])</f>
        <v>0</v>
      </c>
      <c r="AA12" s="13">
        <f>SUBTOTAL(103,June[25])</f>
        <v>2</v>
      </c>
      <c r="AB12" s="13">
        <f>SUBTOTAL(103,June[26])</f>
        <v>0</v>
      </c>
      <c r="AC12" s="13">
        <f>SUBTOTAL(103,June[27])</f>
        <v>2</v>
      </c>
      <c r="AD12" s="13">
        <f>SUBTOTAL(103,June[28])</f>
        <v>2</v>
      </c>
      <c r="AE12" s="13">
        <f>SUBTOTAL(103,June[29])</f>
        <v>1</v>
      </c>
      <c r="AF12" s="13">
        <f>SUBTOTAL(109,June[30])</f>
        <v>0</v>
      </c>
      <c r="AG12" s="13">
        <f>SUBTOTAL(109,June[31])</f>
        <v>0</v>
      </c>
      <c r="AH12" s="13">
        <f>SUBTOTAL(109,June[Total Days])</f>
        <v>25</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517" priority="2" stopIfTrue="1">
      <formula>C7=KeyCustom2</formula>
    </cfRule>
    <cfRule type="expression" dxfId="516" priority="3" stopIfTrue="1">
      <formula>C7=KeyCustom1</formula>
    </cfRule>
    <cfRule type="expression" dxfId="515" priority="4" stopIfTrue="1">
      <formula>C7=KeySick</formula>
    </cfRule>
    <cfRule type="expression" dxfId="514" priority="5" stopIfTrue="1">
      <formula>C7=KeyPersonal</formula>
    </cfRule>
    <cfRule type="expression" dxfId="513"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Automatically updated year based on year entered in January worksheet" sqref="AH4"/>
    <dataValidation allowBlank="1" showInputMessage="1" showErrorMessage="1" prompt="Automatically calculates total number of days an employee was absent this month in this column" sqref="AH6"/>
    <dataValidation allowBlank="1" showInputMessage="1" showErrorMessage="1" prompt="Track June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Automatically updated title is in this cell. To modify the title, update B1 on January worksheet" sqref="B1"/>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Days of the month in this row are automatically generated. Enter an employee's absence and absence type in each column for each day of the month. Blank means no absence" sqref="C6"/>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AH12"/>
  <sheetViews>
    <sheetView showGridLines="0" zoomScaleNormal="100" workbookViewId="0">
      <selection activeCell="W11" sqref="W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56</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TEXT(WEEKDAY(DATE(CalendarYear,7,1),1),"aaa")</f>
        <v>Fri</v>
      </c>
      <c r="D5" s="2" t="str">
        <f>TEXT(WEEKDAY(DATE(CalendarYear,7,2),1),"aaa")</f>
        <v>Sat</v>
      </c>
      <c r="E5" s="2" t="str">
        <f>TEXT(WEEKDAY(DATE(CalendarYear,7,3),1),"aaa")</f>
        <v>Sun</v>
      </c>
      <c r="F5" s="2" t="str">
        <f>TEXT(WEEKDAY(DATE(CalendarYear,7,4),1),"aaa")</f>
        <v>Mon</v>
      </c>
      <c r="G5" s="2" t="str">
        <f>TEXT(WEEKDAY(DATE(CalendarYear,7,5),1),"aaa")</f>
        <v>Tue</v>
      </c>
      <c r="H5" s="2" t="str">
        <f>TEXT(WEEKDAY(DATE(CalendarYear,7,6),1),"aaa")</f>
        <v>Wed</v>
      </c>
      <c r="I5" s="2" t="str">
        <f>TEXT(WEEKDAY(DATE(CalendarYear,7,7),1),"aaa")</f>
        <v>Thu</v>
      </c>
      <c r="J5" s="2" t="str">
        <f>TEXT(WEEKDAY(DATE(CalendarYear,7,8),1),"aaa")</f>
        <v>Fri</v>
      </c>
      <c r="K5" s="2" t="str">
        <f>TEXT(WEEKDAY(DATE(CalendarYear,7,9),1),"aaa")</f>
        <v>Sat</v>
      </c>
      <c r="L5" s="2" t="str">
        <f>TEXT(WEEKDAY(DATE(CalendarYear,7,10),1),"aaa")</f>
        <v>Sun</v>
      </c>
      <c r="M5" s="2" t="str">
        <f>TEXT(WEEKDAY(DATE(CalendarYear,7,11),1),"aaa")</f>
        <v>Mon</v>
      </c>
      <c r="N5" s="2" t="str">
        <f>TEXT(WEEKDAY(DATE(CalendarYear,7,12),1),"aaa")</f>
        <v>Tue</v>
      </c>
      <c r="O5" s="2" t="str">
        <f>TEXT(WEEKDAY(DATE(CalendarYear,7,13),1),"aaa")</f>
        <v>Wed</v>
      </c>
      <c r="P5" s="2" t="str">
        <f>TEXT(WEEKDAY(DATE(CalendarYear,7,14),1),"aaa")</f>
        <v>Thu</v>
      </c>
      <c r="Q5" s="2" t="str">
        <f>TEXT(WEEKDAY(DATE(CalendarYear,7,15),1),"aaa")</f>
        <v>Fri</v>
      </c>
      <c r="R5" s="2" t="str">
        <f>TEXT(WEEKDAY(DATE(CalendarYear,7,16),1),"aaa")</f>
        <v>Sat</v>
      </c>
      <c r="S5" s="2" t="str">
        <f>TEXT(WEEKDAY(DATE(CalendarYear,7,17),1),"aaa")</f>
        <v>Sun</v>
      </c>
      <c r="T5" s="2" t="str">
        <f>TEXT(WEEKDAY(DATE(CalendarYear,7,18),1),"aaa")</f>
        <v>Mon</v>
      </c>
      <c r="U5" s="2" t="str">
        <f>TEXT(WEEKDAY(DATE(CalendarYear,7,19),1),"aaa")</f>
        <v>Tue</v>
      </c>
      <c r="V5" s="2" t="str">
        <f>TEXT(WEEKDAY(DATE(CalendarYear,7,20),1),"aaa")</f>
        <v>Wed</v>
      </c>
      <c r="W5" s="2" t="str">
        <f>TEXT(WEEKDAY(DATE(CalendarYear,7,21),1),"aaa")</f>
        <v>Thu</v>
      </c>
      <c r="X5" s="2" t="str">
        <f>TEXT(WEEKDAY(DATE(CalendarYear,7,22),1),"aaa")</f>
        <v>Fri</v>
      </c>
      <c r="Y5" s="2" t="str">
        <f>TEXT(WEEKDAY(DATE(CalendarYear,7,23),1),"aaa")</f>
        <v>Sat</v>
      </c>
      <c r="Z5" s="2" t="str">
        <f>TEXT(WEEKDAY(DATE(CalendarYear,7,24),1),"aaa")</f>
        <v>Sun</v>
      </c>
      <c r="AA5" s="2" t="str">
        <f>TEXT(WEEKDAY(DATE(CalendarYear,7,25),1),"aaa")</f>
        <v>Mon</v>
      </c>
      <c r="AB5" s="2" t="str">
        <f>TEXT(WEEKDAY(DATE(CalendarYear,7,26),1),"aaa")</f>
        <v>Tue</v>
      </c>
      <c r="AC5" s="2" t="str">
        <f>TEXT(WEEKDAY(DATE(CalendarYear,7,27),1),"aaa")</f>
        <v>Wed</v>
      </c>
      <c r="AD5" s="2" t="str">
        <f>TEXT(WEEKDAY(DATE(CalendarYear,7,28),1),"aaa")</f>
        <v>Thu</v>
      </c>
      <c r="AE5" s="2" t="str">
        <f>TEXT(WEEKDAY(DATE(CalendarYear,7,29),1),"aaa")</f>
        <v>Fri</v>
      </c>
      <c r="AF5" s="2" t="str">
        <f>TEXT(WEEKDAY(DATE(CalendarYear,7,30),1),"aaa")</f>
        <v>Sat</v>
      </c>
      <c r="AG5" s="2" t="str">
        <f>TEXT(WEEKDAY(DATE(CalendarYear,7,31),1),"aaa")</f>
        <v>Sun</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t="s">
        <v>67</v>
      </c>
      <c r="E7" s="3"/>
      <c r="F7" s="3" t="s">
        <v>67</v>
      </c>
      <c r="G7" s="3"/>
      <c r="H7" s="3"/>
      <c r="I7" s="3"/>
      <c r="J7" s="3"/>
      <c r="K7" s="3"/>
      <c r="L7" s="3"/>
      <c r="M7" s="3"/>
      <c r="N7" s="3"/>
      <c r="O7" s="3"/>
      <c r="P7" s="3"/>
      <c r="Q7" s="3"/>
      <c r="R7" s="3"/>
      <c r="S7" s="3"/>
      <c r="T7" s="3"/>
      <c r="U7" s="3"/>
      <c r="V7" s="3" t="s">
        <v>66</v>
      </c>
      <c r="W7" s="3" t="s">
        <v>66</v>
      </c>
      <c r="X7" s="3"/>
      <c r="Y7" s="3"/>
      <c r="Z7" s="3"/>
      <c r="AA7" s="3"/>
      <c r="AB7" s="3"/>
      <c r="AC7" s="3"/>
      <c r="AD7" s="3"/>
      <c r="AE7" s="3"/>
      <c r="AF7" s="3"/>
      <c r="AG7" s="3"/>
      <c r="AH7" s="10">
        <f>COUNTA(July[[#This Row],[1]:[31]])</f>
        <v>4</v>
      </c>
    </row>
    <row r="8" spans="2:34" ht="30" customHeight="1" x14ac:dyDescent="0.25">
      <c r="B8" s="17" t="s">
        <v>38</v>
      </c>
      <c r="C8" s="3"/>
      <c r="D8" s="3"/>
      <c r="E8" s="3"/>
      <c r="F8" s="3"/>
      <c r="G8" s="3"/>
      <c r="H8" s="3"/>
      <c r="I8" s="3"/>
      <c r="J8" s="3"/>
      <c r="K8" s="3"/>
      <c r="L8" s="3"/>
      <c r="M8" s="3" t="s">
        <v>65</v>
      </c>
      <c r="N8" s="3" t="s">
        <v>65</v>
      </c>
      <c r="O8" s="3" t="s">
        <v>65</v>
      </c>
      <c r="P8" s="3" t="s">
        <v>66</v>
      </c>
      <c r="Q8" s="3"/>
      <c r="R8" s="3"/>
      <c r="S8" s="3"/>
      <c r="T8" s="3"/>
      <c r="U8" s="3"/>
      <c r="V8" s="3"/>
      <c r="W8" s="3"/>
      <c r="X8" s="3"/>
      <c r="Y8" s="3"/>
      <c r="Z8" s="3"/>
      <c r="AA8" s="3"/>
      <c r="AB8" s="3"/>
      <c r="AC8" s="3"/>
      <c r="AD8" s="3"/>
      <c r="AE8" s="3"/>
      <c r="AF8" s="3"/>
      <c r="AG8" s="3"/>
      <c r="AH8" s="10">
        <f>COUNTA(July[[#This Row],[1]:[31]])</f>
        <v>4</v>
      </c>
    </row>
    <row r="9" spans="2:34" ht="30" customHeight="1" x14ac:dyDescent="0.25">
      <c r="B9" s="17" t="s">
        <v>49</v>
      </c>
      <c r="C9" s="3"/>
      <c r="D9" s="3"/>
      <c r="E9" s="3"/>
      <c r="F9" s="3" t="s">
        <v>66</v>
      </c>
      <c r="G9" s="3" t="s">
        <v>66</v>
      </c>
      <c r="H9" s="3" t="s">
        <v>66</v>
      </c>
      <c r="I9" s="3" t="s">
        <v>66</v>
      </c>
      <c r="J9" s="3" t="s">
        <v>66</v>
      </c>
      <c r="K9" s="3" t="s">
        <v>67</v>
      </c>
      <c r="L9" s="3"/>
      <c r="M9" s="3"/>
      <c r="N9" s="3"/>
      <c r="O9" s="3"/>
      <c r="P9" s="3"/>
      <c r="Q9" s="3"/>
      <c r="R9" s="3"/>
      <c r="S9" s="3"/>
      <c r="T9" s="3"/>
      <c r="U9" s="3"/>
      <c r="V9" s="3"/>
      <c r="W9" s="3"/>
      <c r="X9" s="3"/>
      <c r="Y9" s="3"/>
      <c r="Z9" s="3"/>
      <c r="AA9" s="3"/>
      <c r="AB9" s="3"/>
      <c r="AC9" s="3"/>
      <c r="AD9" s="3"/>
      <c r="AE9" s="3"/>
      <c r="AF9" s="3"/>
      <c r="AG9" s="3"/>
      <c r="AH9" s="10">
        <f>COUNTA(July[[#This Row],[1]:[31]])</f>
        <v>6</v>
      </c>
    </row>
    <row r="10" spans="2:34" ht="30" customHeight="1" x14ac:dyDescent="0.25">
      <c r="B10" s="17" t="s">
        <v>50</v>
      </c>
      <c r="C10" s="3"/>
      <c r="D10" s="3"/>
      <c r="E10" s="3"/>
      <c r="F10" s="3"/>
      <c r="G10" s="3"/>
      <c r="H10" s="3"/>
      <c r="I10" s="3"/>
      <c r="J10" s="3"/>
      <c r="K10" s="3"/>
      <c r="L10" s="3"/>
      <c r="M10" s="3"/>
      <c r="N10" s="3"/>
      <c r="O10" s="3" t="s">
        <v>67</v>
      </c>
      <c r="P10" s="3"/>
      <c r="Q10" s="3"/>
      <c r="R10" s="3"/>
      <c r="S10" s="3"/>
      <c r="T10" s="3"/>
      <c r="U10" s="3"/>
      <c r="V10" s="3"/>
      <c r="W10" s="3"/>
      <c r="X10" s="3"/>
      <c r="Y10" s="3"/>
      <c r="Z10" s="3"/>
      <c r="AA10" s="3"/>
      <c r="AB10" s="3"/>
      <c r="AC10" s="3"/>
      <c r="AD10" s="3"/>
      <c r="AE10" s="3"/>
      <c r="AF10" s="3"/>
      <c r="AG10" s="3"/>
      <c r="AH10" s="10">
        <f>COUNTA(July[[#This Row],[1]:[31]])</f>
        <v>1</v>
      </c>
    </row>
    <row r="11" spans="2:34" ht="30" customHeight="1" x14ac:dyDescent="0.25">
      <c r="B11" s="17" t="s">
        <v>51</v>
      </c>
      <c r="C11" s="3"/>
      <c r="D11" s="3"/>
      <c r="E11" s="3"/>
      <c r="F11" s="3"/>
      <c r="G11" s="3"/>
      <c r="H11" s="3"/>
      <c r="I11" s="3"/>
      <c r="J11" s="3"/>
      <c r="K11" s="3"/>
      <c r="L11" s="3"/>
      <c r="M11" s="3"/>
      <c r="N11" s="3"/>
      <c r="O11" s="3"/>
      <c r="P11" s="3"/>
      <c r="Q11" s="3"/>
      <c r="R11" s="3"/>
      <c r="S11" s="3"/>
      <c r="T11" s="3" t="s">
        <v>65</v>
      </c>
      <c r="U11" s="3" t="s">
        <v>65</v>
      </c>
      <c r="V11" s="3" t="s">
        <v>65</v>
      </c>
      <c r="W11" s="3" t="s">
        <v>65</v>
      </c>
      <c r="X11" s="3"/>
      <c r="Y11" s="3"/>
      <c r="Z11" s="3"/>
      <c r="AA11" s="3"/>
      <c r="AB11" s="3"/>
      <c r="AC11" s="3"/>
      <c r="AD11" s="3"/>
      <c r="AE11" s="3"/>
      <c r="AF11" s="3"/>
      <c r="AG11" s="3"/>
      <c r="AH11" s="10">
        <f>COUNTA(July[[#This Row],[1]:[31]])</f>
        <v>4</v>
      </c>
    </row>
    <row r="12" spans="2:34" ht="30" customHeight="1" x14ac:dyDescent="0.25">
      <c r="B12" s="21" t="str">
        <f>MonthName&amp;" Total"</f>
        <v>July Total</v>
      </c>
      <c r="C12" s="13">
        <f>SUBTOTAL(103,July[1])</f>
        <v>0</v>
      </c>
      <c r="D12" s="13">
        <f>SUBTOTAL(103,July[2])</f>
        <v>1</v>
      </c>
      <c r="E12" s="13">
        <f>SUBTOTAL(103,July[3])</f>
        <v>0</v>
      </c>
      <c r="F12" s="13">
        <f>SUBTOTAL(103,July[4])</f>
        <v>2</v>
      </c>
      <c r="G12" s="13">
        <f>SUBTOTAL(103,July[5])</f>
        <v>1</v>
      </c>
      <c r="H12" s="13">
        <f>SUBTOTAL(103,July[6])</f>
        <v>1</v>
      </c>
      <c r="I12" s="13">
        <f>SUBTOTAL(103,July[7])</f>
        <v>1</v>
      </c>
      <c r="J12" s="13">
        <f>SUBTOTAL(103,July[8])</f>
        <v>1</v>
      </c>
      <c r="K12" s="13">
        <f>SUBTOTAL(103,July[9])</f>
        <v>1</v>
      </c>
      <c r="L12" s="13">
        <f>SUBTOTAL(103,July[10])</f>
        <v>0</v>
      </c>
      <c r="M12" s="13">
        <f>SUBTOTAL(103,July[11])</f>
        <v>1</v>
      </c>
      <c r="N12" s="13">
        <f>SUBTOTAL(103,July[12])</f>
        <v>1</v>
      </c>
      <c r="O12" s="13">
        <f>SUBTOTAL(103,July[13])</f>
        <v>2</v>
      </c>
      <c r="P12" s="13">
        <f>SUBTOTAL(103,July[14])</f>
        <v>1</v>
      </c>
      <c r="Q12" s="13">
        <f>SUBTOTAL(103,July[15])</f>
        <v>0</v>
      </c>
      <c r="R12" s="13">
        <f>SUBTOTAL(103,July[16])</f>
        <v>0</v>
      </c>
      <c r="S12" s="13">
        <f>SUBTOTAL(103,July[17])</f>
        <v>0</v>
      </c>
      <c r="T12" s="13">
        <f>SUBTOTAL(103,July[18])</f>
        <v>1</v>
      </c>
      <c r="U12" s="13">
        <f>SUBTOTAL(103,July[19])</f>
        <v>1</v>
      </c>
      <c r="V12" s="13">
        <f>SUBTOTAL(103,July[20])</f>
        <v>2</v>
      </c>
      <c r="W12" s="13">
        <f>SUBTOTAL(103,July[21])</f>
        <v>2</v>
      </c>
      <c r="X12" s="13">
        <f>SUBTOTAL(103,July[22])</f>
        <v>0</v>
      </c>
      <c r="Y12" s="13">
        <f>SUBTOTAL(103,July[23])</f>
        <v>0</v>
      </c>
      <c r="Z12" s="13">
        <f>SUBTOTAL(103,July[24])</f>
        <v>0</v>
      </c>
      <c r="AA12" s="13">
        <f>SUBTOTAL(103,July[25])</f>
        <v>0</v>
      </c>
      <c r="AB12" s="13">
        <f>SUBTOTAL(103,July[26])</f>
        <v>0</v>
      </c>
      <c r="AC12" s="13">
        <f>SUBTOTAL(103,July[27])</f>
        <v>0</v>
      </c>
      <c r="AD12" s="13">
        <f>SUBTOTAL(103,July[28])</f>
        <v>0</v>
      </c>
      <c r="AE12" s="13">
        <f>SUBTOTAL(103,July[29])</f>
        <v>0</v>
      </c>
      <c r="AF12" s="13">
        <f>SUBTOTAL(109,July[30])</f>
        <v>0</v>
      </c>
      <c r="AG12" s="13">
        <f>SUBTOTAL(109,July[31])</f>
        <v>0</v>
      </c>
      <c r="AH12" s="13">
        <f>SUBTOTAL(109,July[Total Days])</f>
        <v>19</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443" priority="2" stopIfTrue="1">
      <formula>C7=KeyCustom2</formula>
    </cfRule>
    <cfRule type="expression" dxfId="442" priority="3" stopIfTrue="1">
      <formula>C7=KeyCustom1</formula>
    </cfRule>
    <cfRule type="expression" dxfId="441" priority="4" stopIfTrue="1">
      <formula>C7=KeySick</formula>
    </cfRule>
    <cfRule type="expression" dxfId="440" priority="5" stopIfTrue="1">
      <formula>C7=KeyPersonal</formula>
    </cfRule>
    <cfRule type="expression" dxfId="439"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Automatically updated title is in this cell. To modify the title, update B1 on January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rack July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year based on year entered in January worksheet" sqref="AH4"/>
    <dataValidation allowBlank="1" showInputMessage="1" showErrorMessage="1" prompt="Weekdays in this row are automatically updated for the month according to the year in AH4. Each day of the month is a column to note an employee's absence and absence type" sqref="C5"/>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749992370372631"/>
    <pageSetUpPr fitToPage="1"/>
  </sheetPr>
  <dimension ref="A1:AH12"/>
  <sheetViews>
    <sheetView showGridLines="0" zoomScaleNormal="100" workbookViewId="0">
      <selection activeCell="T11" sqref="T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57</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TEXT(WEEKDAY(DATE(CalendarYear,8,1),1),"aaa")</f>
        <v>Mon</v>
      </c>
      <c r="D5" s="2" t="str">
        <f>TEXT(WEEKDAY(DATE(CalendarYear,8,2),1),"aaa")</f>
        <v>Tue</v>
      </c>
      <c r="E5" s="2" t="str">
        <f>TEXT(WEEKDAY(DATE(CalendarYear,8,3),1),"aaa")</f>
        <v>Wed</v>
      </c>
      <c r="F5" s="2" t="str">
        <f>TEXT(WEEKDAY(DATE(CalendarYear,8,4),1),"aaa")</f>
        <v>Thu</v>
      </c>
      <c r="G5" s="2" t="str">
        <f>TEXT(WEEKDAY(DATE(CalendarYear,8,5),1),"aaa")</f>
        <v>Fri</v>
      </c>
      <c r="H5" s="2" t="str">
        <f>TEXT(WEEKDAY(DATE(CalendarYear,8,6),1),"aaa")</f>
        <v>Sat</v>
      </c>
      <c r="I5" s="2" t="str">
        <f>TEXT(WEEKDAY(DATE(CalendarYear,8,7),1),"aaa")</f>
        <v>Sun</v>
      </c>
      <c r="J5" s="2" t="str">
        <f>TEXT(WEEKDAY(DATE(CalendarYear,8,8),1),"aaa")</f>
        <v>Mon</v>
      </c>
      <c r="K5" s="2" t="str">
        <f>TEXT(WEEKDAY(DATE(CalendarYear,8,9),1),"aaa")</f>
        <v>Tue</v>
      </c>
      <c r="L5" s="2" t="str">
        <f>TEXT(WEEKDAY(DATE(CalendarYear,8,10),1),"aaa")</f>
        <v>Wed</v>
      </c>
      <c r="M5" s="2" t="str">
        <f>TEXT(WEEKDAY(DATE(CalendarYear,8,11),1),"aaa")</f>
        <v>Thu</v>
      </c>
      <c r="N5" s="2" t="str">
        <f>TEXT(WEEKDAY(DATE(CalendarYear,8,12),1),"aaa")</f>
        <v>Fri</v>
      </c>
      <c r="O5" s="2" t="str">
        <f>TEXT(WEEKDAY(DATE(CalendarYear,8,13),1),"aaa")</f>
        <v>Sat</v>
      </c>
      <c r="P5" s="2" t="str">
        <f>TEXT(WEEKDAY(DATE(CalendarYear,8,14),1),"aaa")</f>
        <v>Sun</v>
      </c>
      <c r="Q5" s="2" t="str">
        <f>TEXT(WEEKDAY(DATE(CalendarYear,8,15),1),"aaa")</f>
        <v>Mon</v>
      </c>
      <c r="R5" s="2" t="str">
        <f>TEXT(WEEKDAY(DATE(CalendarYear,8,16),1),"aaa")</f>
        <v>Tue</v>
      </c>
      <c r="S5" s="2" t="str">
        <f>TEXT(WEEKDAY(DATE(CalendarYear,8,17),1),"aaa")</f>
        <v>Wed</v>
      </c>
      <c r="T5" s="2" t="str">
        <f>TEXT(WEEKDAY(DATE(CalendarYear,8,18),1),"aaa")</f>
        <v>Thu</v>
      </c>
      <c r="U5" s="2" t="str">
        <f>TEXT(WEEKDAY(DATE(CalendarYear,8,19),1),"aaa")</f>
        <v>Fri</v>
      </c>
      <c r="V5" s="2" t="str">
        <f>TEXT(WEEKDAY(DATE(CalendarYear,8,20),1),"aaa")</f>
        <v>Sat</v>
      </c>
      <c r="W5" s="2" t="str">
        <f>TEXT(WEEKDAY(DATE(CalendarYear,8,21),1),"aaa")</f>
        <v>Sun</v>
      </c>
      <c r="X5" s="2" t="str">
        <f>TEXT(WEEKDAY(DATE(CalendarYear,8,22),1),"aaa")</f>
        <v>Mon</v>
      </c>
      <c r="Y5" s="2" t="str">
        <f>TEXT(WEEKDAY(DATE(CalendarYear,8,23),1),"aaa")</f>
        <v>Tue</v>
      </c>
      <c r="Z5" s="2" t="str">
        <f>TEXT(WEEKDAY(DATE(CalendarYear,8,24),1),"aaa")</f>
        <v>Wed</v>
      </c>
      <c r="AA5" s="2" t="str">
        <f>TEXT(WEEKDAY(DATE(CalendarYear,8,25),1),"aaa")</f>
        <v>Thu</v>
      </c>
      <c r="AB5" s="2" t="str">
        <f>TEXT(WEEKDAY(DATE(CalendarYear,8,26),1),"aaa")</f>
        <v>Fri</v>
      </c>
      <c r="AC5" s="2" t="str">
        <f>TEXT(WEEKDAY(DATE(CalendarYear,8,27),1),"aaa")</f>
        <v>Sat</v>
      </c>
      <c r="AD5" s="2" t="str">
        <f>TEXT(WEEKDAY(DATE(CalendarYear,8,28),1),"aaa")</f>
        <v>Sun</v>
      </c>
      <c r="AE5" s="2" t="str">
        <f>TEXT(WEEKDAY(DATE(CalendarYear,8,29),1),"aaa")</f>
        <v>Mon</v>
      </c>
      <c r="AF5" s="2" t="str">
        <f>TEXT(WEEKDAY(DATE(CalendarYear,8,30),1),"aaa")</f>
        <v>Tue</v>
      </c>
      <c r="AG5" s="2" t="str">
        <f>TEXT(WEEKDAY(DATE(CalendarYear,8,31),1),"aaa")</f>
        <v>Wed</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t="s">
        <v>67</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10">
        <f>COUNTA(August[[#This Row],[1]:[31]])</f>
        <v>1</v>
      </c>
    </row>
    <row r="8" spans="2:34" ht="30" customHeight="1" x14ac:dyDescent="0.25">
      <c r="B8" s="17" t="s">
        <v>38</v>
      </c>
      <c r="C8" s="3"/>
      <c r="D8" s="3"/>
      <c r="E8" s="3"/>
      <c r="F8" s="3"/>
      <c r="G8" s="3"/>
      <c r="H8" s="3"/>
      <c r="I8" s="3"/>
      <c r="J8" s="3"/>
      <c r="K8" s="3"/>
      <c r="L8" s="3"/>
      <c r="M8" s="3"/>
      <c r="N8" s="3"/>
      <c r="O8" s="3"/>
      <c r="P8" s="3"/>
      <c r="Q8" s="3"/>
      <c r="R8" s="3"/>
      <c r="S8" s="3"/>
      <c r="T8" s="3"/>
      <c r="U8" s="3"/>
      <c r="V8" s="3"/>
      <c r="W8" s="3"/>
      <c r="X8" s="3"/>
      <c r="Y8" s="3" t="s">
        <v>65</v>
      </c>
      <c r="Z8" s="3" t="s">
        <v>65</v>
      </c>
      <c r="AA8" s="3" t="s">
        <v>65</v>
      </c>
      <c r="AB8" s="3" t="s">
        <v>65</v>
      </c>
      <c r="AC8" s="3"/>
      <c r="AD8" s="3"/>
      <c r="AE8" s="3"/>
      <c r="AF8" s="3"/>
      <c r="AG8" s="3"/>
      <c r="AH8" s="10">
        <f>COUNTA(August[[#This Row],[1]:[31]])</f>
        <v>4</v>
      </c>
    </row>
    <row r="9" spans="2:34" ht="30" customHeight="1" x14ac:dyDescent="0.25">
      <c r="B9" s="17" t="s">
        <v>49</v>
      </c>
      <c r="C9" s="3"/>
      <c r="D9" s="3"/>
      <c r="E9" s="3"/>
      <c r="F9" s="3"/>
      <c r="G9" s="3"/>
      <c r="H9" s="3"/>
      <c r="I9" s="3"/>
      <c r="J9" s="3"/>
      <c r="K9" s="3" t="s">
        <v>67</v>
      </c>
      <c r="L9" s="3" t="s">
        <v>67</v>
      </c>
      <c r="M9" s="3" t="s">
        <v>67</v>
      </c>
      <c r="N9" s="3"/>
      <c r="O9" s="3"/>
      <c r="P9" s="3"/>
      <c r="Q9" s="3"/>
      <c r="R9" s="3"/>
      <c r="S9" s="3"/>
      <c r="T9" s="3"/>
      <c r="U9" s="3"/>
      <c r="V9" s="3"/>
      <c r="W9" s="3"/>
      <c r="X9" s="3"/>
      <c r="Y9" s="3"/>
      <c r="Z9" s="3"/>
      <c r="AA9" s="3"/>
      <c r="AB9" s="3"/>
      <c r="AC9" s="3"/>
      <c r="AD9" s="3"/>
      <c r="AE9" s="3"/>
      <c r="AF9" s="3"/>
      <c r="AG9" s="3"/>
      <c r="AH9" s="10">
        <f>COUNTA(August[[#This Row],[1]:[31]])</f>
        <v>3</v>
      </c>
    </row>
    <row r="10" spans="2:34" ht="30" customHeight="1" x14ac:dyDescent="0.25">
      <c r="B10" s="17" t="s">
        <v>50</v>
      </c>
      <c r="C10" s="3"/>
      <c r="D10" s="3"/>
      <c r="E10" s="3"/>
      <c r="F10" s="3"/>
      <c r="G10" s="3"/>
      <c r="H10" s="3"/>
      <c r="I10" s="3"/>
      <c r="J10" s="3"/>
      <c r="K10" s="3"/>
      <c r="L10" s="3"/>
      <c r="M10" s="3"/>
      <c r="N10" s="3"/>
      <c r="O10" s="3" t="s">
        <v>65</v>
      </c>
      <c r="P10" s="3"/>
      <c r="Q10" s="3" t="s">
        <v>65</v>
      </c>
      <c r="R10" s="3" t="s">
        <v>65</v>
      </c>
      <c r="S10" s="3" t="s">
        <v>66</v>
      </c>
      <c r="T10" s="3"/>
      <c r="U10" s="3"/>
      <c r="V10" s="3"/>
      <c r="W10" s="3"/>
      <c r="X10" s="3"/>
      <c r="Y10" s="3"/>
      <c r="Z10" s="3"/>
      <c r="AA10" s="3"/>
      <c r="AB10" s="3"/>
      <c r="AC10" s="3"/>
      <c r="AD10" s="3"/>
      <c r="AE10" s="3"/>
      <c r="AF10" s="3"/>
      <c r="AG10" s="3"/>
      <c r="AH10" s="10">
        <f>COUNTA(August[[#This Row],[1]:[31]])</f>
        <v>4</v>
      </c>
    </row>
    <row r="11" spans="2:34" ht="30" customHeight="1" x14ac:dyDescent="0.25">
      <c r="B11" s="17" t="s">
        <v>51</v>
      </c>
      <c r="C11" s="3"/>
      <c r="D11" s="3"/>
      <c r="E11" s="3"/>
      <c r="F11" s="3"/>
      <c r="G11" s="3"/>
      <c r="H11" s="3"/>
      <c r="I11" s="3"/>
      <c r="J11" s="3"/>
      <c r="K11" s="3"/>
      <c r="L11" s="3"/>
      <c r="M11" s="3"/>
      <c r="N11" s="3"/>
      <c r="O11" s="3"/>
      <c r="P11" s="3"/>
      <c r="Q11" s="3"/>
      <c r="R11" s="3"/>
      <c r="S11" s="3" t="s">
        <v>67</v>
      </c>
      <c r="T11" s="3" t="s">
        <v>67</v>
      </c>
      <c r="U11" s="3" t="s">
        <v>67</v>
      </c>
      <c r="V11" s="3"/>
      <c r="W11" s="3"/>
      <c r="X11" s="3"/>
      <c r="Y11" s="3"/>
      <c r="Z11" s="3"/>
      <c r="AA11" s="3"/>
      <c r="AB11" s="3"/>
      <c r="AC11" s="3"/>
      <c r="AD11" s="3"/>
      <c r="AE11" s="3"/>
      <c r="AF11" s="3"/>
      <c r="AG11" s="3"/>
      <c r="AH11" s="10">
        <f>COUNTA(August[[#This Row],[1]:[31]])</f>
        <v>3</v>
      </c>
    </row>
    <row r="12" spans="2:34" ht="30" customHeight="1" x14ac:dyDescent="0.25">
      <c r="B12" s="21" t="str">
        <f>MonthName&amp;" Total"</f>
        <v>August Total</v>
      </c>
      <c r="C12" s="13">
        <f>SUBTOTAL(103,August[1])</f>
        <v>1</v>
      </c>
      <c r="D12" s="13">
        <f>SUBTOTAL(103,August[2])</f>
        <v>0</v>
      </c>
      <c r="E12" s="13">
        <f>SUBTOTAL(103,August[3])</f>
        <v>0</v>
      </c>
      <c r="F12" s="13">
        <f>SUBTOTAL(103,August[4])</f>
        <v>0</v>
      </c>
      <c r="G12" s="13">
        <f>SUBTOTAL(103,August[5])</f>
        <v>0</v>
      </c>
      <c r="H12" s="13">
        <f>SUBTOTAL(103,August[6])</f>
        <v>0</v>
      </c>
      <c r="I12" s="13">
        <f>SUBTOTAL(103,August[7])</f>
        <v>0</v>
      </c>
      <c r="J12" s="13">
        <f>SUBTOTAL(103,August[8])</f>
        <v>0</v>
      </c>
      <c r="K12" s="13">
        <f>SUBTOTAL(103,August[9])</f>
        <v>1</v>
      </c>
      <c r="L12" s="13">
        <f>SUBTOTAL(103,August[10])</f>
        <v>1</v>
      </c>
      <c r="M12" s="13">
        <f>SUBTOTAL(103,August[11])</f>
        <v>1</v>
      </c>
      <c r="N12" s="13">
        <f>SUBTOTAL(103,August[12])</f>
        <v>0</v>
      </c>
      <c r="O12" s="13">
        <f>SUBTOTAL(103,August[13])</f>
        <v>1</v>
      </c>
      <c r="P12" s="13">
        <f>SUBTOTAL(103,August[14])</f>
        <v>0</v>
      </c>
      <c r="Q12" s="13">
        <f>SUBTOTAL(103,August[15])</f>
        <v>1</v>
      </c>
      <c r="R12" s="13">
        <f>SUBTOTAL(103,August[16])</f>
        <v>1</v>
      </c>
      <c r="S12" s="13">
        <f>SUBTOTAL(103,August[17])</f>
        <v>2</v>
      </c>
      <c r="T12" s="13">
        <f>SUBTOTAL(103,August[18])</f>
        <v>1</v>
      </c>
      <c r="U12" s="13">
        <f>SUBTOTAL(103,August[19])</f>
        <v>1</v>
      </c>
      <c r="V12" s="13">
        <f>SUBTOTAL(103,August[20])</f>
        <v>0</v>
      </c>
      <c r="W12" s="13">
        <f>SUBTOTAL(103,August[21])</f>
        <v>0</v>
      </c>
      <c r="X12" s="13">
        <f>SUBTOTAL(103,August[22])</f>
        <v>0</v>
      </c>
      <c r="Y12" s="13">
        <f>SUBTOTAL(103,August[23])</f>
        <v>1</v>
      </c>
      <c r="Z12" s="13">
        <f>SUBTOTAL(103,August[24])</f>
        <v>1</v>
      </c>
      <c r="AA12" s="13">
        <f>SUBTOTAL(103,August[25])</f>
        <v>1</v>
      </c>
      <c r="AB12" s="13">
        <f>SUBTOTAL(103,August[26])</f>
        <v>1</v>
      </c>
      <c r="AC12" s="13">
        <f>SUBTOTAL(103,August[27])</f>
        <v>0</v>
      </c>
      <c r="AD12" s="13">
        <f>SUBTOTAL(103,August[28])</f>
        <v>0</v>
      </c>
      <c r="AE12" s="13">
        <f>SUBTOTAL(103,August[29])</f>
        <v>0</v>
      </c>
      <c r="AF12" s="13">
        <f>SUBTOTAL(109,August[30])</f>
        <v>0</v>
      </c>
      <c r="AG12" s="13">
        <f>SUBTOTAL(109,August[31])</f>
        <v>0</v>
      </c>
      <c r="AH12" s="13">
        <f>SUBTOTAL(109,August[Total Days])</f>
        <v>15</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369" priority="2" stopIfTrue="1">
      <formula>C7=KeyCustom2</formula>
    </cfRule>
    <cfRule type="expression" dxfId="368" priority="3" stopIfTrue="1">
      <formula>C7=KeyCustom1</formula>
    </cfRule>
    <cfRule type="expression" dxfId="367" priority="4" stopIfTrue="1">
      <formula>C7=KeySick</formula>
    </cfRule>
    <cfRule type="expression" dxfId="366" priority="5" stopIfTrue="1">
      <formula>C7=KeyPersonal</formula>
    </cfRule>
    <cfRule type="expression" dxfId="365"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Automatically updated year based on year entered in January worksheet" sqref="AH4"/>
    <dataValidation allowBlank="1" showInputMessage="1" showErrorMessage="1" prompt="Automatically calculates total number of days an employee was absent this month in this column" sqref="AH6"/>
    <dataValidation allowBlank="1" showInputMessage="1" showErrorMessage="1" prompt="Track August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Automatically updated title is in this cell. To modify the title, update B1 on January worksheet" sqref="B1"/>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Days of the month in this row are automatically generated. Enter an employee's absence and absence type in each column for each day of the month. Blank means no absence" sqref="C6"/>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pageSetUpPr fitToPage="1"/>
  </sheetPr>
  <dimension ref="A1:AH12"/>
  <sheetViews>
    <sheetView showGridLines="0" zoomScaleNormal="100" workbookViewId="0">
      <selection activeCell="Z11" sqref="Z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58</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TEXT(WEEKDAY(DATE(CalendarYear,9,1),1),"aaa")</f>
        <v>Thu</v>
      </c>
      <c r="D5" s="2" t="str">
        <f>TEXT(WEEKDAY(DATE(CalendarYear,9,2),1),"aaa")</f>
        <v>Fri</v>
      </c>
      <c r="E5" s="2" t="str">
        <f>TEXT(WEEKDAY(DATE(CalendarYear,9,3),1),"aaa")</f>
        <v>Sat</v>
      </c>
      <c r="F5" s="2" t="str">
        <f>TEXT(WEEKDAY(DATE(CalendarYear,9,4),1),"aaa")</f>
        <v>Sun</v>
      </c>
      <c r="G5" s="2" t="str">
        <f>TEXT(WEEKDAY(DATE(CalendarYear,9,5),1),"aaa")</f>
        <v>Mon</v>
      </c>
      <c r="H5" s="2" t="str">
        <f>TEXT(WEEKDAY(DATE(CalendarYear,9,6),1),"aaa")</f>
        <v>Tue</v>
      </c>
      <c r="I5" s="2" t="str">
        <f>TEXT(WEEKDAY(DATE(CalendarYear,9,7),1),"aaa")</f>
        <v>Wed</v>
      </c>
      <c r="J5" s="2" t="str">
        <f>TEXT(WEEKDAY(DATE(CalendarYear,9,8),1),"aaa")</f>
        <v>Thu</v>
      </c>
      <c r="K5" s="2" t="str">
        <f>TEXT(WEEKDAY(DATE(CalendarYear,9,9),1),"aaa")</f>
        <v>Fri</v>
      </c>
      <c r="L5" s="2" t="str">
        <f>TEXT(WEEKDAY(DATE(CalendarYear,9,10),1),"aaa")</f>
        <v>Sat</v>
      </c>
      <c r="M5" s="2" t="str">
        <f>TEXT(WEEKDAY(DATE(CalendarYear,9,11),1),"aaa")</f>
        <v>Sun</v>
      </c>
      <c r="N5" s="2" t="str">
        <f>TEXT(WEEKDAY(DATE(CalendarYear,9,12),1),"aaa")</f>
        <v>Mon</v>
      </c>
      <c r="O5" s="2" t="str">
        <f>TEXT(WEEKDAY(DATE(CalendarYear,9,13),1),"aaa")</f>
        <v>Tue</v>
      </c>
      <c r="P5" s="2" t="str">
        <f>TEXT(WEEKDAY(DATE(CalendarYear,9,14),1),"aaa")</f>
        <v>Wed</v>
      </c>
      <c r="Q5" s="2" t="str">
        <f>TEXT(WEEKDAY(DATE(CalendarYear,9,15),1),"aaa")</f>
        <v>Thu</v>
      </c>
      <c r="R5" s="2" t="str">
        <f>TEXT(WEEKDAY(DATE(CalendarYear,9,16),1),"aaa")</f>
        <v>Fri</v>
      </c>
      <c r="S5" s="2" t="str">
        <f>TEXT(WEEKDAY(DATE(CalendarYear,9,17),1),"aaa")</f>
        <v>Sat</v>
      </c>
      <c r="T5" s="2" t="str">
        <f>TEXT(WEEKDAY(DATE(CalendarYear,9,18),1),"aaa")</f>
        <v>Sun</v>
      </c>
      <c r="U5" s="2" t="str">
        <f>TEXT(WEEKDAY(DATE(CalendarYear,9,19),1),"aaa")</f>
        <v>Mon</v>
      </c>
      <c r="V5" s="2" t="str">
        <f>TEXT(WEEKDAY(DATE(CalendarYear,9,20),1),"aaa")</f>
        <v>Tue</v>
      </c>
      <c r="W5" s="2" t="str">
        <f>TEXT(WEEKDAY(DATE(CalendarYear,9,21),1),"aaa")</f>
        <v>Wed</v>
      </c>
      <c r="X5" s="2" t="str">
        <f>TEXT(WEEKDAY(DATE(CalendarYear,9,22),1),"aaa")</f>
        <v>Thu</v>
      </c>
      <c r="Y5" s="2" t="str">
        <f>TEXT(WEEKDAY(DATE(CalendarYear,9,23),1),"aaa")</f>
        <v>Fri</v>
      </c>
      <c r="Z5" s="2" t="str">
        <f>TEXT(WEEKDAY(DATE(CalendarYear,9,24),1),"aaa")</f>
        <v>Sat</v>
      </c>
      <c r="AA5" s="2" t="str">
        <f>TEXT(WEEKDAY(DATE(CalendarYear,9,25),1),"aaa")</f>
        <v>Sun</v>
      </c>
      <c r="AB5" s="2" t="str">
        <f>TEXT(WEEKDAY(DATE(CalendarYear,9,26),1),"aaa")</f>
        <v>Mon</v>
      </c>
      <c r="AC5" s="2" t="str">
        <f>TEXT(WEEKDAY(DATE(CalendarYear,9,27),1),"aaa")</f>
        <v>Tue</v>
      </c>
      <c r="AD5" s="2" t="str">
        <f>TEXT(WEEKDAY(DATE(CalendarYear,9,28),1),"aaa")</f>
        <v>Wed</v>
      </c>
      <c r="AE5" s="2" t="str">
        <f>TEXT(WEEKDAY(DATE(CalendarYear,9,29),1),"aaa")</f>
        <v>Thu</v>
      </c>
      <c r="AF5" s="2" t="str">
        <f>TEXT(WEEKDAY(DATE(CalendarYear,9,30),1),"aaa")</f>
        <v>Fri</v>
      </c>
      <c r="AG5" s="2"/>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c r="E7" s="3"/>
      <c r="F7" s="3"/>
      <c r="G7" s="3"/>
      <c r="H7" s="3"/>
      <c r="I7" s="3" t="s">
        <v>67</v>
      </c>
      <c r="J7" s="3" t="s">
        <v>67</v>
      </c>
      <c r="K7" s="3" t="s">
        <v>67</v>
      </c>
      <c r="L7" s="3"/>
      <c r="M7" s="3"/>
      <c r="N7" s="3"/>
      <c r="O7" s="3"/>
      <c r="P7" s="3"/>
      <c r="Q7" s="3"/>
      <c r="R7" s="3"/>
      <c r="S7" s="3"/>
      <c r="T7" s="3"/>
      <c r="U7" s="3"/>
      <c r="V7" s="3"/>
      <c r="W7" s="3"/>
      <c r="X7" s="3"/>
      <c r="Y7" s="3"/>
      <c r="Z7" s="3"/>
      <c r="AA7" s="3"/>
      <c r="AB7" s="3"/>
      <c r="AC7" s="3"/>
      <c r="AD7" s="3"/>
      <c r="AE7" s="3"/>
      <c r="AF7" s="3"/>
      <c r="AG7" s="3"/>
      <c r="AH7" s="10">
        <f>COUNTA(September[[#This Row],[1]:[31]])</f>
        <v>3</v>
      </c>
    </row>
    <row r="8" spans="2:34" ht="30" customHeight="1" x14ac:dyDescent="0.25">
      <c r="B8" s="17" t="s">
        <v>38</v>
      </c>
      <c r="C8" s="3"/>
      <c r="D8" s="3"/>
      <c r="E8" s="3"/>
      <c r="F8" s="3"/>
      <c r="G8" s="3"/>
      <c r="H8" s="3"/>
      <c r="I8" s="3"/>
      <c r="J8" s="3"/>
      <c r="K8" s="3"/>
      <c r="L8" s="3"/>
      <c r="M8" s="3"/>
      <c r="N8" s="3" t="s">
        <v>65</v>
      </c>
      <c r="O8" s="3" t="s">
        <v>65</v>
      </c>
      <c r="P8" s="3" t="s">
        <v>65</v>
      </c>
      <c r="Q8" s="3" t="s">
        <v>65</v>
      </c>
      <c r="R8" s="3"/>
      <c r="S8" s="3"/>
      <c r="T8" s="3"/>
      <c r="U8" s="3"/>
      <c r="V8" s="3"/>
      <c r="W8" s="3"/>
      <c r="X8" s="3"/>
      <c r="Y8" s="3"/>
      <c r="Z8" s="3"/>
      <c r="AA8" s="3"/>
      <c r="AB8" s="3"/>
      <c r="AC8" s="3" t="s">
        <v>67</v>
      </c>
      <c r="AD8" s="3" t="s">
        <v>67</v>
      </c>
      <c r="AE8" s="3"/>
      <c r="AF8" s="3"/>
      <c r="AG8" s="3"/>
      <c r="AH8" s="10">
        <f>COUNTA(September[[#This Row],[1]:[31]])</f>
        <v>6</v>
      </c>
    </row>
    <row r="9" spans="2:34" ht="30" customHeight="1" x14ac:dyDescent="0.25">
      <c r="B9" s="17" t="s">
        <v>49</v>
      </c>
      <c r="C9" s="3" t="s">
        <v>67</v>
      </c>
      <c r="D9" s="3" t="s">
        <v>66</v>
      </c>
      <c r="E9" s="3" t="s">
        <v>66</v>
      </c>
      <c r="F9" s="3"/>
      <c r="G9" s="3"/>
      <c r="H9" s="3"/>
      <c r="I9" s="3"/>
      <c r="J9" s="3"/>
      <c r="K9" s="3"/>
      <c r="L9" s="3"/>
      <c r="M9" s="3"/>
      <c r="N9" s="3"/>
      <c r="O9" s="3"/>
      <c r="P9" s="3"/>
      <c r="Q9" s="3"/>
      <c r="R9" s="3"/>
      <c r="S9" s="3"/>
      <c r="T9" s="3"/>
      <c r="U9" s="3" t="s">
        <v>67</v>
      </c>
      <c r="V9" s="3" t="s">
        <v>66</v>
      </c>
      <c r="W9" s="3" t="s">
        <v>66</v>
      </c>
      <c r="X9" s="3"/>
      <c r="Y9" s="3"/>
      <c r="Z9" s="3"/>
      <c r="AA9" s="3"/>
      <c r="AB9" s="3"/>
      <c r="AC9" s="3"/>
      <c r="AD9" s="3"/>
      <c r="AE9" s="3"/>
      <c r="AF9" s="3"/>
      <c r="AG9" s="3"/>
      <c r="AH9" s="10">
        <f>COUNTA(September[[#This Row],[1]:[31]])</f>
        <v>6</v>
      </c>
    </row>
    <row r="10" spans="2:34" ht="30" customHeight="1" x14ac:dyDescent="0.25">
      <c r="B10" s="17" t="s">
        <v>50</v>
      </c>
      <c r="C10" s="3"/>
      <c r="D10" s="3"/>
      <c r="E10" s="3"/>
      <c r="F10" s="3"/>
      <c r="G10" s="3"/>
      <c r="H10" s="3"/>
      <c r="I10" s="3"/>
      <c r="J10" s="3"/>
      <c r="K10" s="3" t="s">
        <v>66</v>
      </c>
      <c r="L10" s="3" t="s">
        <v>66</v>
      </c>
      <c r="M10" s="3"/>
      <c r="N10" s="3"/>
      <c r="O10" s="3"/>
      <c r="P10" s="3"/>
      <c r="Q10" s="3"/>
      <c r="R10" s="3"/>
      <c r="S10" s="3"/>
      <c r="T10" s="3"/>
      <c r="U10" s="3"/>
      <c r="V10" s="3"/>
      <c r="W10" s="3"/>
      <c r="X10" s="3"/>
      <c r="Y10" s="3"/>
      <c r="Z10" s="3"/>
      <c r="AA10" s="3"/>
      <c r="AB10" s="3"/>
      <c r="AC10" s="3"/>
      <c r="AD10" s="3" t="s">
        <v>67</v>
      </c>
      <c r="AE10" s="3" t="s">
        <v>67</v>
      </c>
      <c r="AF10" s="3"/>
      <c r="AG10" s="3"/>
      <c r="AH10" s="10">
        <f>COUNTA(September[[#This Row],[1]:[31]])</f>
        <v>4</v>
      </c>
    </row>
    <row r="11" spans="2:34" ht="30" customHeight="1" x14ac:dyDescent="0.25">
      <c r="B11" s="17" t="s">
        <v>51</v>
      </c>
      <c r="C11" s="3"/>
      <c r="D11" s="3"/>
      <c r="E11" s="3"/>
      <c r="F11" s="3"/>
      <c r="G11" s="3"/>
      <c r="H11" s="3"/>
      <c r="I11" s="3"/>
      <c r="J11" s="3"/>
      <c r="K11" s="3"/>
      <c r="L11" s="3"/>
      <c r="M11" s="3"/>
      <c r="N11" s="3"/>
      <c r="O11" s="3"/>
      <c r="P11" s="3"/>
      <c r="Q11" s="3"/>
      <c r="R11" s="3"/>
      <c r="S11" s="3"/>
      <c r="T11" s="3"/>
      <c r="U11" s="3"/>
      <c r="V11" s="3"/>
      <c r="W11" s="3"/>
      <c r="X11" s="3"/>
      <c r="Y11" s="3"/>
      <c r="Z11" s="3" t="s">
        <v>67</v>
      </c>
      <c r="AA11" s="3"/>
      <c r="AB11" s="3"/>
      <c r="AC11" s="3"/>
      <c r="AD11" s="3"/>
      <c r="AE11" s="3"/>
      <c r="AF11" s="3"/>
      <c r="AG11" s="3"/>
      <c r="AH11" s="10">
        <f>COUNTA(September[[#This Row],[1]:[31]])</f>
        <v>1</v>
      </c>
    </row>
    <row r="12" spans="2:34" ht="30" customHeight="1" x14ac:dyDescent="0.25">
      <c r="B12" s="21" t="str">
        <f>MonthName&amp;" Total"</f>
        <v>September Total</v>
      </c>
      <c r="C12" s="13">
        <f>SUBTOTAL(103,September[1])</f>
        <v>1</v>
      </c>
      <c r="D12" s="13">
        <f>SUBTOTAL(103,September[2])</f>
        <v>1</v>
      </c>
      <c r="E12" s="13">
        <f>SUBTOTAL(103,September[3])</f>
        <v>1</v>
      </c>
      <c r="F12" s="13">
        <f>SUBTOTAL(103,September[4])</f>
        <v>0</v>
      </c>
      <c r="G12" s="13">
        <f>SUBTOTAL(103,September[5])</f>
        <v>0</v>
      </c>
      <c r="H12" s="13">
        <f>SUBTOTAL(103,September[6])</f>
        <v>0</v>
      </c>
      <c r="I12" s="13">
        <f>SUBTOTAL(103,September[7])</f>
        <v>1</v>
      </c>
      <c r="J12" s="13">
        <f>SUBTOTAL(103,September[8])</f>
        <v>1</v>
      </c>
      <c r="K12" s="13">
        <f>SUBTOTAL(103,September[9])</f>
        <v>2</v>
      </c>
      <c r="L12" s="13">
        <f>SUBTOTAL(103,September[10])</f>
        <v>1</v>
      </c>
      <c r="M12" s="13">
        <f>SUBTOTAL(103,September[11])</f>
        <v>0</v>
      </c>
      <c r="N12" s="13">
        <f>SUBTOTAL(103,September[12])</f>
        <v>1</v>
      </c>
      <c r="O12" s="13">
        <f>SUBTOTAL(103,September[13])</f>
        <v>1</v>
      </c>
      <c r="P12" s="13">
        <f>SUBTOTAL(103,September[14])</f>
        <v>1</v>
      </c>
      <c r="Q12" s="13">
        <f>SUBTOTAL(103,September[15])</f>
        <v>1</v>
      </c>
      <c r="R12" s="13">
        <f>SUBTOTAL(103,September[16])</f>
        <v>0</v>
      </c>
      <c r="S12" s="13">
        <f>SUBTOTAL(103,September[17])</f>
        <v>0</v>
      </c>
      <c r="T12" s="13">
        <f>SUBTOTAL(103,September[18])</f>
        <v>0</v>
      </c>
      <c r="U12" s="13">
        <f>SUBTOTAL(103,September[19])</f>
        <v>1</v>
      </c>
      <c r="V12" s="13">
        <f>SUBTOTAL(103,September[20])</f>
        <v>1</v>
      </c>
      <c r="W12" s="13">
        <f>SUBTOTAL(103,September[21])</f>
        <v>1</v>
      </c>
      <c r="X12" s="13">
        <f>SUBTOTAL(103,September[22])</f>
        <v>0</v>
      </c>
      <c r="Y12" s="13">
        <f>SUBTOTAL(103,September[23])</f>
        <v>0</v>
      </c>
      <c r="Z12" s="13">
        <f>SUBTOTAL(103,September[24])</f>
        <v>1</v>
      </c>
      <c r="AA12" s="13">
        <f>SUBTOTAL(103,September[25])</f>
        <v>0</v>
      </c>
      <c r="AB12" s="13">
        <f>SUBTOTAL(103,September[26])</f>
        <v>0</v>
      </c>
      <c r="AC12" s="13">
        <f>SUBTOTAL(103,September[27])</f>
        <v>1</v>
      </c>
      <c r="AD12" s="13">
        <f>SUBTOTAL(103,September[28])</f>
        <v>2</v>
      </c>
      <c r="AE12" s="13">
        <f>SUBTOTAL(103,September[29])</f>
        <v>1</v>
      </c>
      <c r="AF12" s="13">
        <f>SUBTOTAL(109,September[30])</f>
        <v>0</v>
      </c>
      <c r="AG12" s="13">
        <f>SUBTOTAL(109,September[31])</f>
        <v>0</v>
      </c>
      <c r="AH12" s="13">
        <f>SUBTOTAL(109,September[Total Days])</f>
        <v>20</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295" priority="2" stopIfTrue="1">
      <formula>C7=KeyCustom2</formula>
    </cfRule>
    <cfRule type="expression" dxfId="294" priority="3" stopIfTrue="1">
      <formula>C7=KeyCustom1</formula>
    </cfRule>
    <cfRule type="expression" dxfId="293" priority="4" stopIfTrue="1">
      <formula>C7=KeySick</formula>
    </cfRule>
    <cfRule type="expression" dxfId="292" priority="5" stopIfTrue="1">
      <formula>C7=KeyPersonal</formula>
    </cfRule>
    <cfRule type="expression" dxfId="291"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Automatically updated title is in this cell. To modify the title, update B1 on January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rack September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year based on year entered in January worksheet" sqref="AH4"/>
    <dataValidation allowBlank="1" showInputMessage="1" showErrorMessage="1" prompt="Weekdays in this row are automatically updated for the month according to the year in AH4. Each day of the month is a column to note an employee's absence and absence type" sqref="C5"/>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AH12"/>
  <sheetViews>
    <sheetView showGridLines="0" zoomScaleNormal="100" workbookViewId="0">
      <selection activeCell="AG11" sqref="AG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59</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TEXT(WEEKDAY(DATE(CalendarYear,10,1),1),"aaa")</f>
        <v>Sat</v>
      </c>
      <c r="D5" s="2" t="str">
        <f>TEXT(WEEKDAY(DATE(CalendarYear,10,2),1),"aaa")</f>
        <v>Sun</v>
      </c>
      <c r="E5" s="2" t="str">
        <f>TEXT(WEEKDAY(DATE(CalendarYear,10,3),1),"aaa")</f>
        <v>Mon</v>
      </c>
      <c r="F5" s="2" t="str">
        <f>TEXT(WEEKDAY(DATE(CalendarYear,10,4),1),"aaa")</f>
        <v>Tue</v>
      </c>
      <c r="G5" s="2" t="str">
        <f>TEXT(WEEKDAY(DATE(CalendarYear,10,5),1),"aaa")</f>
        <v>Wed</v>
      </c>
      <c r="H5" s="2" t="str">
        <f>TEXT(WEEKDAY(DATE(CalendarYear,10,6),1),"aaa")</f>
        <v>Thu</v>
      </c>
      <c r="I5" s="2" t="str">
        <f>TEXT(WEEKDAY(DATE(CalendarYear,10,7),1),"aaa")</f>
        <v>Fri</v>
      </c>
      <c r="J5" s="2" t="str">
        <f>TEXT(WEEKDAY(DATE(CalendarYear,10,8),1),"aaa")</f>
        <v>Sat</v>
      </c>
      <c r="K5" s="2" t="str">
        <f>TEXT(WEEKDAY(DATE(CalendarYear,10,9),1),"aaa")</f>
        <v>Sun</v>
      </c>
      <c r="L5" s="2" t="str">
        <f>TEXT(WEEKDAY(DATE(CalendarYear,10,10),1),"aaa")</f>
        <v>Mon</v>
      </c>
      <c r="M5" s="2" t="str">
        <f>TEXT(WEEKDAY(DATE(CalendarYear,10,11),1),"aaa")</f>
        <v>Tue</v>
      </c>
      <c r="N5" s="2" t="str">
        <f>TEXT(WEEKDAY(DATE(CalendarYear,10,12),1),"aaa")</f>
        <v>Wed</v>
      </c>
      <c r="O5" s="2" t="str">
        <f>TEXT(WEEKDAY(DATE(CalendarYear,10,13),1),"aaa")</f>
        <v>Thu</v>
      </c>
      <c r="P5" s="2" t="str">
        <f>TEXT(WEEKDAY(DATE(CalendarYear,10,14),1),"aaa")</f>
        <v>Fri</v>
      </c>
      <c r="Q5" s="2" t="str">
        <f>TEXT(WEEKDAY(DATE(CalendarYear,10,15),1),"aaa")</f>
        <v>Sat</v>
      </c>
      <c r="R5" s="2" t="str">
        <f>TEXT(WEEKDAY(DATE(CalendarYear,10,16),1),"aaa")</f>
        <v>Sun</v>
      </c>
      <c r="S5" s="2" t="str">
        <f>TEXT(WEEKDAY(DATE(CalendarYear,10,17),1),"aaa")</f>
        <v>Mon</v>
      </c>
      <c r="T5" s="2" t="str">
        <f>TEXT(WEEKDAY(DATE(CalendarYear,10,18),1),"aaa")</f>
        <v>Tue</v>
      </c>
      <c r="U5" s="2" t="str">
        <f>TEXT(WEEKDAY(DATE(CalendarYear,10,19),1),"aaa")</f>
        <v>Wed</v>
      </c>
      <c r="V5" s="2" t="str">
        <f>TEXT(WEEKDAY(DATE(CalendarYear,10,20),1),"aaa")</f>
        <v>Thu</v>
      </c>
      <c r="W5" s="2" t="str">
        <f>TEXT(WEEKDAY(DATE(CalendarYear,10,21),1),"aaa")</f>
        <v>Fri</v>
      </c>
      <c r="X5" s="2" t="str">
        <f>TEXT(WEEKDAY(DATE(CalendarYear,10,22),1),"aaa")</f>
        <v>Sat</v>
      </c>
      <c r="Y5" s="2" t="str">
        <f>TEXT(WEEKDAY(DATE(CalendarYear,10,23),1),"aaa")</f>
        <v>Sun</v>
      </c>
      <c r="Z5" s="2" t="str">
        <f>TEXT(WEEKDAY(DATE(CalendarYear,10,24),1),"aaa")</f>
        <v>Mon</v>
      </c>
      <c r="AA5" s="2" t="str">
        <f>TEXT(WEEKDAY(DATE(CalendarYear,10,25),1),"aaa")</f>
        <v>Tue</v>
      </c>
      <c r="AB5" s="2" t="str">
        <f>TEXT(WEEKDAY(DATE(CalendarYear,10,26),1),"aaa")</f>
        <v>Wed</v>
      </c>
      <c r="AC5" s="2" t="str">
        <f>TEXT(WEEKDAY(DATE(CalendarYear,10,27),1),"aaa")</f>
        <v>Thu</v>
      </c>
      <c r="AD5" s="2" t="str">
        <f>TEXT(WEEKDAY(DATE(CalendarYear,10,28),1),"aaa")</f>
        <v>Fri</v>
      </c>
      <c r="AE5" s="2" t="str">
        <f>TEXT(WEEKDAY(DATE(CalendarYear,10,29),1),"aaa")</f>
        <v>Sat</v>
      </c>
      <c r="AF5" s="2" t="str">
        <f>TEXT(WEEKDAY(DATE(CalendarYear,10,30),1),"aaa")</f>
        <v>Sun</v>
      </c>
      <c r="AG5" s="2" t="str">
        <f>TEXT(WEEKDAY(DATE(CalendarYear,10,31),1),"aaa")</f>
        <v>Mon</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t="s">
        <v>66</v>
      </c>
      <c r="D7" s="3"/>
      <c r="E7" s="3"/>
      <c r="F7" s="3"/>
      <c r="G7" s="3"/>
      <c r="H7" s="3"/>
      <c r="I7" s="3"/>
      <c r="J7" s="3" t="s">
        <v>67</v>
      </c>
      <c r="K7" s="3"/>
      <c r="L7" s="3"/>
      <c r="M7" s="3"/>
      <c r="N7" s="3"/>
      <c r="O7" s="3"/>
      <c r="P7" s="3" t="s">
        <v>67</v>
      </c>
      <c r="Q7" s="3"/>
      <c r="R7" s="3"/>
      <c r="S7" s="3"/>
      <c r="T7" s="3"/>
      <c r="U7" s="3" t="s">
        <v>67</v>
      </c>
      <c r="V7" s="3"/>
      <c r="W7" s="3"/>
      <c r="X7" s="3"/>
      <c r="Y7" s="3"/>
      <c r="Z7" s="3"/>
      <c r="AA7" s="3"/>
      <c r="AB7" s="3"/>
      <c r="AC7" s="3"/>
      <c r="AD7" s="3"/>
      <c r="AE7" s="3"/>
      <c r="AF7" s="3"/>
      <c r="AG7" s="3"/>
      <c r="AH7" s="10">
        <f>COUNTA(October[[#This Row],[1]:[31]])</f>
        <v>4</v>
      </c>
    </row>
    <row r="8" spans="2:34" ht="30" customHeight="1" x14ac:dyDescent="0.25">
      <c r="B8" s="17" t="s">
        <v>38</v>
      </c>
      <c r="C8" s="3"/>
      <c r="D8" s="3"/>
      <c r="E8" s="3"/>
      <c r="F8" s="3"/>
      <c r="G8" s="3"/>
      <c r="H8" s="3"/>
      <c r="I8" s="3"/>
      <c r="J8" s="3"/>
      <c r="K8" s="3"/>
      <c r="L8" s="3"/>
      <c r="M8" s="3"/>
      <c r="N8" s="3"/>
      <c r="O8" s="3"/>
      <c r="P8" s="3"/>
      <c r="Q8" s="3"/>
      <c r="R8" s="3"/>
      <c r="S8" s="3"/>
      <c r="T8" s="3"/>
      <c r="U8" s="3"/>
      <c r="V8" s="3"/>
      <c r="W8" s="3"/>
      <c r="X8" s="3"/>
      <c r="Y8" s="3"/>
      <c r="Z8" s="3"/>
      <c r="AA8" s="3"/>
      <c r="AB8" s="3"/>
      <c r="AC8" s="3" t="s">
        <v>66</v>
      </c>
      <c r="AD8" s="3" t="s">
        <v>66</v>
      </c>
      <c r="AE8" s="3" t="s">
        <v>66</v>
      </c>
      <c r="AF8" s="3"/>
      <c r="AG8" s="3"/>
      <c r="AH8" s="10">
        <f>COUNTA(October[[#This Row],[1]:[31]])</f>
        <v>3</v>
      </c>
    </row>
    <row r="9" spans="2:34" ht="30" customHeight="1" x14ac:dyDescent="0.25">
      <c r="B9" s="17" t="s">
        <v>49</v>
      </c>
      <c r="C9" s="3"/>
      <c r="D9" s="3"/>
      <c r="E9" s="3"/>
      <c r="F9" s="3"/>
      <c r="G9" s="3" t="s">
        <v>66</v>
      </c>
      <c r="H9" s="3"/>
      <c r="I9" s="3"/>
      <c r="J9" s="3"/>
      <c r="K9" s="3"/>
      <c r="L9" s="3"/>
      <c r="M9" s="3" t="s">
        <v>65</v>
      </c>
      <c r="N9" s="3" t="s">
        <v>65</v>
      </c>
      <c r="O9" s="3" t="s">
        <v>65</v>
      </c>
      <c r="P9" s="3" t="s">
        <v>67</v>
      </c>
      <c r="Q9" s="3"/>
      <c r="R9" s="3"/>
      <c r="S9" s="3"/>
      <c r="T9" s="3"/>
      <c r="U9" s="3"/>
      <c r="V9" s="3"/>
      <c r="W9" s="3"/>
      <c r="X9" s="3"/>
      <c r="Y9" s="3"/>
      <c r="Z9" s="3"/>
      <c r="AA9" s="3"/>
      <c r="AB9" s="3"/>
      <c r="AC9" s="3"/>
      <c r="AD9" s="3"/>
      <c r="AE9" s="3"/>
      <c r="AF9" s="3"/>
      <c r="AG9" s="3"/>
      <c r="AH9" s="10">
        <f>COUNTA(October[[#This Row],[1]:[31]])</f>
        <v>5</v>
      </c>
    </row>
    <row r="10" spans="2:34" ht="30" customHeight="1" x14ac:dyDescent="0.25">
      <c r="B10" s="17" t="s">
        <v>50</v>
      </c>
      <c r="C10" s="3"/>
      <c r="D10" s="3"/>
      <c r="E10" s="3"/>
      <c r="F10" s="3"/>
      <c r="G10" s="3"/>
      <c r="H10" s="3"/>
      <c r="I10" s="3"/>
      <c r="J10" s="3"/>
      <c r="K10" s="3"/>
      <c r="L10" s="3"/>
      <c r="M10" s="3"/>
      <c r="N10" s="3"/>
      <c r="O10" s="3"/>
      <c r="P10" s="3"/>
      <c r="Q10" s="3"/>
      <c r="R10" s="3"/>
      <c r="S10" s="3"/>
      <c r="T10" s="3"/>
      <c r="U10" s="3" t="s">
        <v>65</v>
      </c>
      <c r="V10" s="3" t="s">
        <v>65</v>
      </c>
      <c r="W10" s="3" t="s">
        <v>65</v>
      </c>
      <c r="X10" s="3" t="s">
        <v>65</v>
      </c>
      <c r="Y10" s="3"/>
      <c r="Z10" s="3"/>
      <c r="AA10" s="3"/>
      <c r="AB10" s="3"/>
      <c r="AC10" s="3"/>
      <c r="AD10" s="3"/>
      <c r="AE10" s="3"/>
      <c r="AF10" s="3"/>
      <c r="AG10" s="3"/>
      <c r="AH10" s="10">
        <f>COUNTA(October[[#This Row],[1]:[31]])</f>
        <v>4</v>
      </c>
    </row>
    <row r="11" spans="2:34" ht="30" customHeight="1" x14ac:dyDescent="0.25">
      <c r="B11" s="17" t="s">
        <v>51</v>
      </c>
      <c r="C11" s="3"/>
      <c r="D11" s="3"/>
      <c r="E11" s="3"/>
      <c r="F11" s="3"/>
      <c r="G11" s="3" t="s">
        <v>67</v>
      </c>
      <c r="H11" s="3" t="s">
        <v>67</v>
      </c>
      <c r="I11" s="3"/>
      <c r="J11" s="3"/>
      <c r="K11" s="3"/>
      <c r="L11" s="3"/>
      <c r="M11" s="3" t="s">
        <v>66</v>
      </c>
      <c r="N11" s="3"/>
      <c r="O11" s="3"/>
      <c r="P11" s="3"/>
      <c r="Q11" s="3"/>
      <c r="R11" s="3"/>
      <c r="S11" s="3"/>
      <c r="T11" s="3"/>
      <c r="U11" s="3"/>
      <c r="V11" s="3"/>
      <c r="W11" s="3"/>
      <c r="X11" s="3"/>
      <c r="Y11" s="3"/>
      <c r="Z11" s="3"/>
      <c r="AA11" s="3"/>
      <c r="AB11" s="3" t="s">
        <v>67</v>
      </c>
      <c r="AC11" s="3"/>
      <c r="AD11" s="3"/>
      <c r="AE11" s="3"/>
      <c r="AF11" s="3"/>
      <c r="AG11" s="3" t="s">
        <v>66</v>
      </c>
      <c r="AH11" s="10">
        <f>COUNTA(October[[#This Row],[1]:[31]])</f>
        <v>5</v>
      </c>
    </row>
    <row r="12" spans="2:34" ht="30" customHeight="1" x14ac:dyDescent="0.25">
      <c r="B12" s="21" t="str">
        <f>MonthName&amp;" Total"</f>
        <v>October Total</v>
      </c>
      <c r="C12" s="13">
        <f>SUBTOTAL(103,October[1])</f>
        <v>1</v>
      </c>
      <c r="D12" s="13">
        <f>SUBTOTAL(103,October[2])</f>
        <v>0</v>
      </c>
      <c r="E12" s="13">
        <f>SUBTOTAL(103,October[3])</f>
        <v>0</v>
      </c>
      <c r="F12" s="13">
        <f>SUBTOTAL(103,October[4])</f>
        <v>0</v>
      </c>
      <c r="G12" s="13">
        <f>SUBTOTAL(103,October[5])</f>
        <v>2</v>
      </c>
      <c r="H12" s="13">
        <f>SUBTOTAL(103,October[6])</f>
        <v>1</v>
      </c>
      <c r="I12" s="13">
        <f>SUBTOTAL(103,October[7])</f>
        <v>0</v>
      </c>
      <c r="J12" s="13">
        <f>SUBTOTAL(103,October[8])</f>
        <v>1</v>
      </c>
      <c r="K12" s="13">
        <f>SUBTOTAL(103,October[9])</f>
        <v>0</v>
      </c>
      <c r="L12" s="13">
        <f>SUBTOTAL(103,October[10])</f>
        <v>0</v>
      </c>
      <c r="M12" s="13">
        <f>SUBTOTAL(103,October[11])</f>
        <v>2</v>
      </c>
      <c r="N12" s="13">
        <f>SUBTOTAL(103,October[12])</f>
        <v>1</v>
      </c>
      <c r="O12" s="13">
        <f>SUBTOTAL(103,October[13])</f>
        <v>1</v>
      </c>
      <c r="P12" s="13">
        <f>SUBTOTAL(103,October[14])</f>
        <v>2</v>
      </c>
      <c r="Q12" s="13">
        <f>SUBTOTAL(103,October[15])</f>
        <v>0</v>
      </c>
      <c r="R12" s="13">
        <f>SUBTOTAL(103,October[16])</f>
        <v>0</v>
      </c>
      <c r="S12" s="13">
        <f>SUBTOTAL(103,October[17])</f>
        <v>0</v>
      </c>
      <c r="T12" s="13">
        <f>SUBTOTAL(103,October[18])</f>
        <v>0</v>
      </c>
      <c r="U12" s="13">
        <f>SUBTOTAL(103,October[19])</f>
        <v>2</v>
      </c>
      <c r="V12" s="13">
        <f>SUBTOTAL(103,October[20])</f>
        <v>1</v>
      </c>
      <c r="W12" s="13">
        <f>SUBTOTAL(103,October[21])</f>
        <v>1</v>
      </c>
      <c r="X12" s="13">
        <f>SUBTOTAL(103,October[22])</f>
        <v>1</v>
      </c>
      <c r="Y12" s="13">
        <f>SUBTOTAL(103,October[23])</f>
        <v>0</v>
      </c>
      <c r="Z12" s="13">
        <f>SUBTOTAL(103,October[24])</f>
        <v>0</v>
      </c>
      <c r="AA12" s="13">
        <f>SUBTOTAL(103,October[25])</f>
        <v>0</v>
      </c>
      <c r="AB12" s="13">
        <f>SUBTOTAL(103,October[26])</f>
        <v>1</v>
      </c>
      <c r="AC12" s="13">
        <f>SUBTOTAL(103,October[27])</f>
        <v>1</v>
      </c>
      <c r="AD12" s="13">
        <f>SUBTOTAL(103,October[28])</f>
        <v>1</v>
      </c>
      <c r="AE12" s="13">
        <f>SUBTOTAL(103,October[29])</f>
        <v>1</v>
      </c>
      <c r="AF12" s="13">
        <f>SUBTOTAL(109,October[30])</f>
        <v>0</v>
      </c>
      <c r="AG12" s="13">
        <f>SUBTOTAL(109,October[31])</f>
        <v>0</v>
      </c>
      <c r="AH12" s="13">
        <f>SUBTOTAL(109,October[Total Days])</f>
        <v>21</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221" priority="2" stopIfTrue="1">
      <formula>C7=KeyCustom2</formula>
    </cfRule>
    <cfRule type="expression" dxfId="220" priority="3" stopIfTrue="1">
      <formula>C7=KeyCustom1</formula>
    </cfRule>
    <cfRule type="expression" dxfId="219" priority="4" stopIfTrue="1">
      <formula>C7=KeySick</formula>
    </cfRule>
    <cfRule type="expression" dxfId="218" priority="5" stopIfTrue="1">
      <formula>C7=KeyPersonal</formula>
    </cfRule>
    <cfRule type="expression" dxfId="217"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Automatically updated year based on year entered in January worksheet" sqref="AH4"/>
    <dataValidation allowBlank="1" showInputMessage="1" showErrorMessage="1" prompt="Automatically calculates total number of days an employee was absent this month in this column" sqref="AH6"/>
    <dataValidation allowBlank="1" showInputMessage="1" showErrorMessage="1" prompt="Track October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Automatically updated title is in this cell. To modify the title, update B1 on January worksheet" sqref="B1"/>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Days of the month in this row are automatically generated. Enter an employee's absence and absence type in each column for each day of the month. Blank means no absence" sqref="C6"/>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AH12"/>
  <sheetViews>
    <sheetView showGridLines="0" tabSelected="1" zoomScaleNormal="100" workbookViewId="0">
      <selection activeCell="AH5" sqref="AH5"/>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60</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v>2016</v>
      </c>
    </row>
    <row r="5" spans="2:34" ht="15" customHeight="1" x14ac:dyDescent="0.25">
      <c r="B5" s="12"/>
      <c r="C5" s="2" t="str">
        <f>TEXT(WEEKDAY(DATE(CalendarYear,11,1),1),"aaa")</f>
        <v>Tue</v>
      </c>
      <c r="D5" s="2" t="str">
        <f>TEXT(WEEKDAY(DATE(CalendarYear,11,2),1),"aaa")</f>
        <v>Wed</v>
      </c>
      <c r="E5" s="2" t="str">
        <f>TEXT(WEEKDAY(DATE(CalendarYear,11,3),1),"aaa")</f>
        <v>Thu</v>
      </c>
      <c r="F5" s="2" t="str">
        <f>TEXT(WEEKDAY(DATE(CalendarYear,11,4),1),"aaa")</f>
        <v>Fri</v>
      </c>
      <c r="G5" s="2" t="str">
        <f>TEXT(WEEKDAY(DATE(CalendarYear,11,5),1),"aaa")</f>
        <v>Sat</v>
      </c>
      <c r="H5" s="2" t="str">
        <f>TEXT(WEEKDAY(DATE(CalendarYear,11,6),1),"aaa")</f>
        <v>Sun</v>
      </c>
      <c r="I5" s="2" t="str">
        <f>TEXT(WEEKDAY(DATE(CalendarYear,11,7),1),"aaa")</f>
        <v>Mon</v>
      </c>
      <c r="J5" s="2" t="str">
        <f>TEXT(WEEKDAY(DATE(CalendarYear,11,8),1),"aaa")</f>
        <v>Tue</v>
      </c>
      <c r="K5" s="2" t="str">
        <f>TEXT(WEEKDAY(DATE(CalendarYear,11,9),1),"aaa")</f>
        <v>Wed</v>
      </c>
      <c r="L5" s="2" t="str">
        <f>TEXT(WEEKDAY(DATE(CalendarYear,11,10),1),"aaa")</f>
        <v>Thu</v>
      </c>
      <c r="M5" s="2" t="str">
        <f>TEXT(WEEKDAY(DATE(CalendarYear,11,11),1),"aaa")</f>
        <v>Fri</v>
      </c>
      <c r="N5" s="2" t="str">
        <f>TEXT(WEEKDAY(DATE(CalendarYear,11,12),1),"aaa")</f>
        <v>Sat</v>
      </c>
      <c r="O5" s="2" t="str">
        <f>TEXT(WEEKDAY(DATE(CalendarYear,11,13),1),"aaa")</f>
        <v>Sun</v>
      </c>
      <c r="P5" s="2" t="str">
        <f>TEXT(WEEKDAY(DATE(CalendarYear,11,14),1),"aaa")</f>
        <v>Mon</v>
      </c>
      <c r="Q5" s="2" t="str">
        <f>TEXT(WEEKDAY(DATE(CalendarYear,11,15),1),"aaa")</f>
        <v>Tue</v>
      </c>
      <c r="R5" s="2" t="str">
        <f>TEXT(WEEKDAY(DATE(CalendarYear,11,16),1),"aaa")</f>
        <v>Wed</v>
      </c>
      <c r="S5" s="2" t="str">
        <f>TEXT(WEEKDAY(DATE(CalendarYear,11,17),1),"aaa")</f>
        <v>Thu</v>
      </c>
      <c r="T5" s="2" t="str">
        <f>TEXT(WEEKDAY(DATE(CalendarYear,11,18),1),"aaa")</f>
        <v>Fri</v>
      </c>
      <c r="U5" s="2" t="str">
        <f>TEXT(WEEKDAY(DATE(CalendarYear,11,19),1),"aaa")</f>
        <v>Sat</v>
      </c>
      <c r="V5" s="2" t="str">
        <f>TEXT(WEEKDAY(DATE(CalendarYear,11,20),1),"aaa")</f>
        <v>Sun</v>
      </c>
      <c r="W5" s="2" t="str">
        <f>TEXT(WEEKDAY(DATE(CalendarYear,11,21),1),"aaa")</f>
        <v>Mon</v>
      </c>
      <c r="X5" s="2" t="str">
        <f>TEXT(WEEKDAY(DATE(CalendarYear,11,22),1),"aaa")</f>
        <v>Tue</v>
      </c>
      <c r="Y5" s="2" t="str">
        <f>TEXT(WEEKDAY(DATE(CalendarYear,11,23),1),"aaa")</f>
        <v>Wed</v>
      </c>
      <c r="Z5" s="2" t="str">
        <f>TEXT(WEEKDAY(DATE(CalendarYear,11,24),1),"aaa")</f>
        <v>Thu</v>
      </c>
      <c r="AA5" s="2" t="str">
        <f>TEXT(WEEKDAY(DATE(CalendarYear,11,25),1),"aaa")</f>
        <v>Fri</v>
      </c>
      <c r="AB5" s="2" t="str">
        <f>TEXT(WEEKDAY(DATE(CalendarYear,11,26),1),"aaa")</f>
        <v>Sat</v>
      </c>
      <c r="AC5" s="2" t="str">
        <f>TEXT(WEEKDAY(DATE(CalendarYear,11,27),1),"aaa")</f>
        <v>Sun</v>
      </c>
      <c r="AD5" s="2" t="str">
        <f>TEXT(WEEKDAY(DATE(CalendarYear,11,28),1),"aaa")</f>
        <v>Mon</v>
      </c>
      <c r="AE5" s="2" t="str">
        <f>TEXT(WEEKDAY(DATE(CalendarYear,11,29),1),"aaa")</f>
        <v>Tue</v>
      </c>
      <c r="AF5" s="2" t="str">
        <f>TEXT(WEEKDAY(DATE(CalendarYear,11,30),1),"aaa")</f>
        <v>Wed</v>
      </c>
      <c r="AG5" s="2"/>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c r="E7" s="3"/>
      <c r="F7" s="3"/>
      <c r="G7" s="3" t="s">
        <v>66</v>
      </c>
      <c r="H7" s="3"/>
      <c r="I7" s="3"/>
      <c r="J7" s="3"/>
      <c r="K7" s="3"/>
      <c r="L7" s="3"/>
      <c r="M7" s="3"/>
      <c r="N7" s="3"/>
      <c r="O7" s="3"/>
      <c r="P7" s="3"/>
      <c r="Q7" s="3"/>
      <c r="R7" s="3"/>
      <c r="S7" s="3"/>
      <c r="T7" s="3"/>
      <c r="U7" s="3"/>
      <c r="V7" s="3"/>
      <c r="W7" s="3"/>
      <c r="X7" s="3"/>
      <c r="Y7" s="3"/>
      <c r="Z7" s="3"/>
      <c r="AA7" s="3"/>
      <c r="AB7" s="3"/>
      <c r="AC7" s="3"/>
      <c r="AD7" s="3"/>
      <c r="AE7" s="3"/>
      <c r="AF7" s="3" t="s">
        <v>66</v>
      </c>
      <c r="AG7" s="3"/>
      <c r="AH7" s="10">
        <f>COUNTA(November[[#This Row],[1]:[31]])</f>
        <v>2</v>
      </c>
    </row>
    <row r="8" spans="2:34" ht="30" customHeight="1" x14ac:dyDescent="0.25">
      <c r="B8" s="17" t="s">
        <v>38</v>
      </c>
      <c r="C8" s="3"/>
      <c r="D8" s="3"/>
      <c r="E8" s="3"/>
      <c r="F8" s="3"/>
      <c r="G8" s="3"/>
      <c r="H8" s="3"/>
      <c r="I8" s="3"/>
      <c r="J8" s="3"/>
      <c r="K8" s="3" t="s">
        <v>67</v>
      </c>
      <c r="L8" s="3"/>
      <c r="M8" s="3"/>
      <c r="N8" s="3"/>
      <c r="O8" s="3"/>
      <c r="P8" s="3"/>
      <c r="Q8" s="3"/>
      <c r="R8" s="3"/>
      <c r="S8" s="3"/>
      <c r="T8" s="3"/>
      <c r="U8" s="3"/>
      <c r="V8" s="3"/>
      <c r="W8" s="3" t="s">
        <v>67</v>
      </c>
      <c r="X8" s="3"/>
      <c r="Y8" s="3"/>
      <c r="Z8" s="3"/>
      <c r="AA8" s="3"/>
      <c r="AB8" s="3"/>
      <c r="AC8" s="3"/>
      <c r="AD8" s="3"/>
      <c r="AE8" s="3"/>
      <c r="AF8" s="3"/>
      <c r="AG8" s="3"/>
      <c r="AH8" s="10">
        <f>COUNTA(November[[#This Row],[1]:[31]])</f>
        <v>2</v>
      </c>
    </row>
    <row r="9" spans="2:34" ht="30" customHeight="1" x14ac:dyDescent="0.25">
      <c r="B9" s="17" t="s">
        <v>49</v>
      </c>
      <c r="C9" s="3"/>
      <c r="D9" s="3"/>
      <c r="E9" s="3"/>
      <c r="F9" s="3"/>
      <c r="G9" s="3" t="s">
        <v>67</v>
      </c>
      <c r="H9" s="3"/>
      <c r="I9" s="3"/>
      <c r="J9" s="3"/>
      <c r="K9" s="3"/>
      <c r="L9" s="3"/>
      <c r="M9" s="3"/>
      <c r="N9" s="3"/>
      <c r="O9" s="3"/>
      <c r="P9" s="3"/>
      <c r="Q9" s="3"/>
      <c r="R9" s="3"/>
      <c r="S9" s="3"/>
      <c r="T9" s="3"/>
      <c r="U9" s="3"/>
      <c r="V9" s="3"/>
      <c r="W9" s="3"/>
      <c r="X9" s="3"/>
      <c r="Y9" s="3"/>
      <c r="Z9" s="3"/>
      <c r="AA9" s="3"/>
      <c r="AB9" s="3"/>
      <c r="AC9" s="3"/>
      <c r="AD9" s="3"/>
      <c r="AE9" s="3"/>
      <c r="AF9" s="3"/>
      <c r="AG9" s="3" t="s">
        <v>66</v>
      </c>
      <c r="AH9" s="10">
        <f>COUNTA(November[[#This Row],[1]:[31]])</f>
        <v>2</v>
      </c>
    </row>
    <row r="10" spans="2:34" ht="30" customHeight="1" x14ac:dyDescent="0.25">
      <c r="B10" s="17" t="s">
        <v>50</v>
      </c>
      <c r="C10" s="3"/>
      <c r="D10" s="3" t="s">
        <v>66</v>
      </c>
      <c r="E10" s="3"/>
      <c r="F10" s="3"/>
      <c r="G10" s="3"/>
      <c r="H10" s="3"/>
      <c r="I10" s="3"/>
      <c r="J10" s="3"/>
      <c r="K10" s="3"/>
      <c r="L10" s="3"/>
      <c r="M10" s="3"/>
      <c r="N10" s="3"/>
      <c r="O10" s="3"/>
      <c r="P10" s="3"/>
      <c r="Q10" s="3"/>
      <c r="R10" s="3"/>
      <c r="S10" s="3" t="s">
        <v>67</v>
      </c>
      <c r="T10" s="3" t="s">
        <v>67</v>
      </c>
      <c r="U10" s="3"/>
      <c r="V10" s="3"/>
      <c r="W10" s="3"/>
      <c r="X10" s="3"/>
      <c r="Y10" s="3"/>
      <c r="Z10" s="3"/>
      <c r="AA10" s="3"/>
      <c r="AB10" s="3"/>
      <c r="AC10" s="3"/>
      <c r="AD10" s="3"/>
      <c r="AE10" s="3"/>
      <c r="AF10" s="3"/>
      <c r="AG10" s="3"/>
      <c r="AH10" s="10">
        <f>COUNTA(November[[#This Row],[1]:[31]])</f>
        <v>3</v>
      </c>
    </row>
    <row r="11" spans="2:34" ht="30" customHeight="1" x14ac:dyDescent="0.25">
      <c r="B11" s="17" t="s">
        <v>51</v>
      </c>
      <c r="C11" s="3"/>
      <c r="D11" s="3"/>
      <c r="E11" s="3"/>
      <c r="F11" s="3"/>
      <c r="G11" s="3"/>
      <c r="H11" s="3"/>
      <c r="I11" s="3"/>
      <c r="J11" s="3"/>
      <c r="K11" s="3"/>
      <c r="L11" s="3"/>
      <c r="M11" s="3"/>
      <c r="N11" s="3"/>
      <c r="O11" s="3"/>
      <c r="P11" s="3"/>
      <c r="Q11" s="3" t="s">
        <v>65</v>
      </c>
      <c r="R11" s="3" t="s">
        <v>65</v>
      </c>
      <c r="S11" s="3" t="s">
        <v>65</v>
      </c>
      <c r="T11" s="3" t="s">
        <v>65</v>
      </c>
      <c r="U11" s="3" t="s">
        <v>66</v>
      </c>
      <c r="V11" s="3"/>
      <c r="W11" s="3" t="s">
        <v>66</v>
      </c>
      <c r="X11" s="3" t="s">
        <v>66</v>
      </c>
      <c r="Y11" s="3"/>
      <c r="Z11" s="3"/>
      <c r="AA11" s="3"/>
      <c r="AB11" s="3"/>
      <c r="AC11" s="3"/>
      <c r="AD11" s="3"/>
      <c r="AE11" s="3"/>
      <c r="AF11" s="3"/>
      <c r="AG11" s="3"/>
      <c r="AH11" s="10">
        <f>COUNTA(November[[#This Row],[1]:[31]])</f>
        <v>7</v>
      </c>
    </row>
    <row r="12" spans="2:34" ht="30" customHeight="1" x14ac:dyDescent="0.25">
      <c r="B12" s="21" t="str">
        <f>MonthName&amp;" Total"</f>
        <v>November Total</v>
      </c>
      <c r="C12" s="13">
        <f>SUBTOTAL(103,November[1])</f>
        <v>0</v>
      </c>
      <c r="D12" s="13">
        <f>SUBTOTAL(103,November[2])</f>
        <v>1</v>
      </c>
      <c r="E12" s="13">
        <f>SUBTOTAL(103,November[3])</f>
        <v>0</v>
      </c>
      <c r="F12" s="13">
        <f>SUBTOTAL(103,November[4])</f>
        <v>0</v>
      </c>
      <c r="G12" s="13">
        <f>SUBTOTAL(103,November[5])</f>
        <v>2</v>
      </c>
      <c r="H12" s="13">
        <f>SUBTOTAL(103,November[6])</f>
        <v>0</v>
      </c>
      <c r="I12" s="13">
        <f>SUBTOTAL(103,November[7])</f>
        <v>0</v>
      </c>
      <c r="J12" s="13">
        <f>SUBTOTAL(103,November[8])</f>
        <v>0</v>
      </c>
      <c r="K12" s="13">
        <f>SUBTOTAL(103,November[9])</f>
        <v>1</v>
      </c>
      <c r="L12" s="13">
        <f>SUBTOTAL(103,November[10])</f>
        <v>0</v>
      </c>
      <c r="M12" s="13">
        <f>SUBTOTAL(103,November[11])</f>
        <v>0</v>
      </c>
      <c r="N12" s="13">
        <f>SUBTOTAL(103,November[12])</f>
        <v>0</v>
      </c>
      <c r="O12" s="13">
        <f>SUBTOTAL(103,November[13])</f>
        <v>0</v>
      </c>
      <c r="P12" s="13">
        <f>SUBTOTAL(103,November[14])</f>
        <v>0</v>
      </c>
      <c r="Q12" s="13">
        <f>SUBTOTAL(103,November[15])</f>
        <v>1</v>
      </c>
      <c r="R12" s="13">
        <f>SUBTOTAL(103,November[16])</f>
        <v>1</v>
      </c>
      <c r="S12" s="13">
        <f>SUBTOTAL(103,November[17])</f>
        <v>2</v>
      </c>
      <c r="T12" s="13">
        <f>SUBTOTAL(103,November[18])</f>
        <v>2</v>
      </c>
      <c r="U12" s="13">
        <f>SUBTOTAL(103,November[19])</f>
        <v>1</v>
      </c>
      <c r="V12" s="13">
        <f>SUBTOTAL(103,November[20])</f>
        <v>0</v>
      </c>
      <c r="W12" s="13">
        <f>SUBTOTAL(103,November[21])</f>
        <v>2</v>
      </c>
      <c r="X12" s="13">
        <f>SUBTOTAL(103,November[22])</f>
        <v>1</v>
      </c>
      <c r="Y12" s="13">
        <f>SUBTOTAL(103,November[23])</f>
        <v>0</v>
      </c>
      <c r="Z12" s="13">
        <f>SUBTOTAL(103,November[24])</f>
        <v>0</v>
      </c>
      <c r="AA12" s="13">
        <f>SUBTOTAL(103,November[25])</f>
        <v>0</v>
      </c>
      <c r="AB12" s="13">
        <f>SUBTOTAL(103,November[26])</f>
        <v>0</v>
      </c>
      <c r="AC12" s="13">
        <f>SUBTOTAL(103,November[27])</f>
        <v>0</v>
      </c>
      <c r="AD12" s="13">
        <f>SUBTOTAL(103,November[28])</f>
        <v>0</v>
      </c>
      <c r="AE12" s="13">
        <f>SUBTOTAL(103,November[29])</f>
        <v>0</v>
      </c>
      <c r="AF12" s="13">
        <f>SUBTOTAL(109,November[30])</f>
        <v>0</v>
      </c>
      <c r="AG12" s="13">
        <f>SUBTOTAL(109,November[31])</f>
        <v>0</v>
      </c>
      <c r="AH12" s="13">
        <f>SUBTOTAL(109,November[Total Days])</f>
        <v>16</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147" priority="2" stopIfTrue="1">
      <formula>C7=KeyCustom2</formula>
    </cfRule>
    <cfRule type="expression" dxfId="146" priority="3" stopIfTrue="1">
      <formula>C7=KeyCustom1</formula>
    </cfRule>
    <cfRule type="expression" dxfId="145" priority="4" stopIfTrue="1">
      <formula>C7=KeySick</formula>
    </cfRule>
    <cfRule type="expression" dxfId="144" priority="5" stopIfTrue="1">
      <formula>C7=KeyPersonal</formula>
    </cfRule>
    <cfRule type="expression" dxfId="143" priority="6" stopIfTrue="1">
      <formula>C7=KeyVacation</formula>
    </cfRule>
  </conditionalFormatting>
  <conditionalFormatting sqref="AH7:AH11">
    <cfRule type="dataBar" priority="7">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6"/>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Enter a label to describe the custom key at left" sqref="O2:Q2 S2:U2"/>
    <dataValidation allowBlank="1" showInputMessage="1" showErrorMessage="1" prompt="Enter a letter and customize the label at right to add another key item" sqref="N2 R2"/>
    <dataValidation allowBlank="1" showInputMessage="1" showErrorMessage="1" prompt="The letter &quot;S&quot; indicates absence due to illness" sqref="K2"/>
    <dataValidation allowBlank="1" showInputMessage="1" showErrorMessage="1" prompt="The letter &quot;P&quot; indicates absence due to personal reasons" sqref="G2"/>
    <dataValidation allowBlank="1" showInputMessage="1" showErrorMessage="1" prompt="The letter &quot;V&quot; indicates absence due to vacation" sqref="C2"/>
    <dataValidation allowBlank="1" showInputMessage="1" showErrorMessage="1" prompt="Automatically updated title is in this cell. To modify the title, update B1 on January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Track November absence in this worksheet" sqref="A1"/>
    <dataValidation allowBlank="1" showInputMessage="1" showErrorMessage="1" prompt="Automatically calculates total number of days an employee was absent this month in this column" sqref="AH6"/>
    <dataValidation allowBlank="1" showInputMessage="1" showErrorMessage="1" prompt="Automatically updated year based on year entered in January worksheet" sqref="AH4"/>
    <dataValidation allowBlank="1" showInputMessage="1" showErrorMessage="1" prompt="Weekdays in this row are automatically updated for the month according to the year in AH4. Each day of the month is a column to note an employee's absence and absence type" sqref="C5"/>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pageSetUpPr fitToPage="1"/>
  </sheetPr>
  <dimension ref="A1:AH12"/>
  <sheetViews>
    <sheetView showGridLines="0" zoomScaleNormal="100" workbookViewId="0">
      <selection activeCell="AG11" sqref="AG11"/>
    </sheetView>
  </sheetViews>
  <sheetFormatPr defaultRowHeight="30" customHeight="1" x14ac:dyDescent="0.25"/>
  <cols>
    <col min="1" max="1" width="2.7109375" style="11" customWidth="1"/>
    <col min="2" max="2" width="25.7109375" style="11" customWidth="1"/>
    <col min="3" max="33" width="4.7109375" style="11" customWidth="1"/>
    <col min="34" max="34" width="13.5703125" style="11" customWidth="1"/>
    <col min="35" max="35" width="2.7109375" customWidth="1"/>
  </cols>
  <sheetData>
    <row r="1" spans="2:34" ht="50.1" customHeight="1" x14ac:dyDescent="0.25">
      <c r="B1" s="14" t="str">
        <f>Employee_Absence_Title</f>
        <v>Employee Absence Schedule</v>
      </c>
    </row>
    <row r="2" spans="2:34" ht="15" customHeight="1" x14ac:dyDescent="0.25">
      <c r="B2" s="19" t="s">
        <v>63</v>
      </c>
      <c r="C2" s="4" t="s">
        <v>37</v>
      </c>
      <c r="D2" s="24" t="s">
        <v>43</v>
      </c>
      <c r="E2" s="24"/>
      <c r="F2" s="24"/>
      <c r="G2" s="5" t="s">
        <v>41</v>
      </c>
      <c r="H2" s="24" t="s">
        <v>44</v>
      </c>
      <c r="I2" s="24"/>
      <c r="J2" s="24"/>
      <c r="K2" s="6" t="s">
        <v>36</v>
      </c>
      <c r="L2" s="24" t="s">
        <v>45</v>
      </c>
      <c r="M2" s="24"/>
      <c r="N2" s="7"/>
      <c r="O2" s="24" t="s">
        <v>46</v>
      </c>
      <c r="P2" s="24"/>
      <c r="Q2" s="24"/>
      <c r="R2" s="8"/>
      <c r="S2" s="24" t="s">
        <v>47</v>
      </c>
      <c r="T2" s="24"/>
      <c r="U2" s="24"/>
    </row>
    <row r="3" spans="2:34" ht="15" customHeight="1" x14ac:dyDescent="0.25">
      <c r="B3" s="14"/>
    </row>
    <row r="4" spans="2:34" ht="30" customHeight="1" x14ac:dyDescent="0.25">
      <c r="B4" s="12" t="s">
        <v>61</v>
      </c>
      <c r="C4" s="23" t="s">
        <v>1</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12">
        <f>CalendarYear</f>
        <v>2016</v>
      </c>
    </row>
    <row r="5" spans="2:34" ht="15" customHeight="1" x14ac:dyDescent="0.25">
      <c r="B5" s="12"/>
      <c r="C5" s="2" t="str">
        <f>TEXT(WEEKDAY(DATE(CalendarYear,12,1),1),"aaa")</f>
        <v>Thu</v>
      </c>
      <c r="D5" s="2" t="str">
        <f>TEXT(WEEKDAY(DATE(CalendarYear,12,2),1),"aaa")</f>
        <v>Fri</v>
      </c>
      <c r="E5" s="2" t="str">
        <f>TEXT(WEEKDAY(DATE(CalendarYear,12,3),1),"aaa")</f>
        <v>Sat</v>
      </c>
      <c r="F5" s="2" t="str">
        <f>TEXT(WEEKDAY(DATE(CalendarYear,12,4),1),"aaa")</f>
        <v>Sun</v>
      </c>
      <c r="G5" s="2" t="str">
        <f>TEXT(WEEKDAY(DATE(CalendarYear,12,5),1),"aaa")</f>
        <v>Mon</v>
      </c>
      <c r="H5" s="2" t="str">
        <f>TEXT(WEEKDAY(DATE(CalendarYear,12,6),1),"aaa")</f>
        <v>Tue</v>
      </c>
      <c r="I5" s="2" t="str">
        <f>TEXT(WEEKDAY(DATE(CalendarYear,12,7),1),"aaa")</f>
        <v>Wed</v>
      </c>
      <c r="J5" s="2" t="str">
        <f>TEXT(WEEKDAY(DATE(CalendarYear,12,8),1),"aaa")</f>
        <v>Thu</v>
      </c>
      <c r="K5" s="2" t="str">
        <f>TEXT(WEEKDAY(DATE(CalendarYear,12,9),1),"aaa")</f>
        <v>Fri</v>
      </c>
      <c r="L5" s="2" t="str">
        <f>TEXT(WEEKDAY(DATE(CalendarYear,12,10),1),"aaa")</f>
        <v>Sat</v>
      </c>
      <c r="M5" s="2" t="str">
        <f>TEXT(WEEKDAY(DATE(CalendarYear,12,11),1),"aaa")</f>
        <v>Sun</v>
      </c>
      <c r="N5" s="2" t="str">
        <f>TEXT(WEEKDAY(DATE(CalendarYear,12,12),1),"aaa")</f>
        <v>Mon</v>
      </c>
      <c r="O5" s="2" t="str">
        <f>TEXT(WEEKDAY(DATE(CalendarYear,12,13),1),"aaa")</f>
        <v>Tue</v>
      </c>
      <c r="P5" s="2" t="str">
        <f>TEXT(WEEKDAY(DATE(CalendarYear,12,14),1),"aaa")</f>
        <v>Wed</v>
      </c>
      <c r="Q5" s="2" t="str">
        <f>TEXT(WEEKDAY(DATE(CalendarYear,12,15),1),"aaa")</f>
        <v>Thu</v>
      </c>
      <c r="R5" s="2" t="str">
        <f>TEXT(WEEKDAY(DATE(CalendarYear,12,16),1),"aaa")</f>
        <v>Fri</v>
      </c>
      <c r="S5" s="2" t="str">
        <f>TEXT(WEEKDAY(DATE(CalendarYear,12,17),1),"aaa")</f>
        <v>Sat</v>
      </c>
      <c r="T5" s="2" t="str">
        <f>TEXT(WEEKDAY(DATE(CalendarYear,12,18),1),"aaa")</f>
        <v>Sun</v>
      </c>
      <c r="U5" s="2" t="str">
        <f>TEXT(WEEKDAY(DATE(CalendarYear,12,19),1),"aaa")</f>
        <v>Mon</v>
      </c>
      <c r="V5" s="2" t="str">
        <f>TEXT(WEEKDAY(DATE(CalendarYear,12,20),1),"aaa")</f>
        <v>Tue</v>
      </c>
      <c r="W5" s="2" t="str">
        <f>TEXT(WEEKDAY(DATE(CalendarYear,12,21),1),"aaa")</f>
        <v>Wed</v>
      </c>
      <c r="X5" s="2" t="str">
        <f>TEXT(WEEKDAY(DATE(CalendarYear,12,22),1),"aaa")</f>
        <v>Thu</v>
      </c>
      <c r="Y5" s="2" t="str">
        <f>TEXT(WEEKDAY(DATE(CalendarYear,12,23),1),"aaa")</f>
        <v>Fri</v>
      </c>
      <c r="Z5" s="2" t="str">
        <f>TEXT(WEEKDAY(DATE(CalendarYear,12,24),1),"aaa")</f>
        <v>Sat</v>
      </c>
      <c r="AA5" s="2" t="str">
        <f>TEXT(WEEKDAY(DATE(CalendarYear,12,25),1),"aaa")</f>
        <v>Sun</v>
      </c>
      <c r="AB5" s="2" t="str">
        <f>TEXT(WEEKDAY(DATE(CalendarYear,12,26),1),"aaa")</f>
        <v>Mon</v>
      </c>
      <c r="AC5" s="2" t="str">
        <f>TEXT(WEEKDAY(DATE(CalendarYear,12,27),1),"aaa")</f>
        <v>Tue</v>
      </c>
      <c r="AD5" s="2" t="str">
        <f>TEXT(WEEKDAY(DATE(CalendarYear,12,28),1),"aaa")</f>
        <v>Wed</v>
      </c>
      <c r="AE5" s="2" t="str">
        <f>TEXT(WEEKDAY(DATE(CalendarYear,12,29),1),"aaa")</f>
        <v>Thu</v>
      </c>
      <c r="AF5" s="2" t="str">
        <f>TEXT(WEEKDAY(DATE(CalendarYear,12,30),1),"aaa")</f>
        <v>Fri</v>
      </c>
      <c r="AG5" s="2" t="str">
        <f>TEXT(WEEKDAY(DATE(CalendarYear,12,31),1),"aaa")</f>
        <v>Sat</v>
      </c>
      <c r="AH5" s="12"/>
    </row>
    <row r="6" spans="2:34" ht="15" customHeight="1" x14ac:dyDescent="0.25">
      <c r="B6" s="15" t="s">
        <v>2</v>
      </c>
      <c r="C6" s="3" t="s">
        <v>3</v>
      </c>
      <c r="D6" s="3" t="s">
        <v>4</v>
      </c>
      <c r="E6" s="3" t="s">
        <v>5</v>
      </c>
      <c r="F6" s="3" t="s">
        <v>6</v>
      </c>
      <c r="G6" s="3" t="s">
        <v>7</v>
      </c>
      <c r="H6" s="3" t="s">
        <v>8</v>
      </c>
      <c r="I6" s="3" t="s">
        <v>9</v>
      </c>
      <c r="J6" s="3" t="s">
        <v>10</v>
      </c>
      <c r="K6" s="3" t="s">
        <v>11</v>
      </c>
      <c r="L6" s="3" t="s">
        <v>12</v>
      </c>
      <c r="M6" s="3" t="s">
        <v>13</v>
      </c>
      <c r="N6" s="3" t="s">
        <v>14</v>
      </c>
      <c r="O6" s="3" t="s">
        <v>15</v>
      </c>
      <c r="P6" s="3" t="s">
        <v>16</v>
      </c>
      <c r="Q6" s="3" t="s">
        <v>17</v>
      </c>
      <c r="R6" s="3" t="s">
        <v>18</v>
      </c>
      <c r="S6" s="3" t="s">
        <v>19</v>
      </c>
      <c r="T6" s="3" t="s">
        <v>20</v>
      </c>
      <c r="U6" s="3" t="s">
        <v>21</v>
      </c>
      <c r="V6" s="3" t="s">
        <v>22</v>
      </c>
      <c r="W6" s="3" t="s">
        <v>23</v>
      </c>
      <c r="X6" s="3" t="s">
        <v>24</v>
      </c>
      <c r="Y6" s="3" t="s">
        <v>25</v>
      </c>
      <c r="Z6" s="3" t="s">
        <v>26</v>
      </c>
      <c r="AA6" s="3" t="s">
        <v>27</v>
      </c>
      <c r="AB6" s="3" t="s">
        <v>28</v>
      </c>
      <c r="AC6" s="3" t="s">
        <v>29</v>
      </c>
      <c r="AD6" s="3" t="s">
        <v>30</v>
      </c>
      <c r="AE6" s="3" t="s">
        <v>31</v>
      </c>
      <c r="AF6" s="3" t="s">
        <v>32</v>
      </c>
      <c r="AG6" s="3" t="s">
        <v>33</v>
      </c>
      <c r="AH6" s="16" t="s">
        <v>34</v>
      </c>
    </row>
    <row r="7" spans="2:34" ht="30" customHeight="1" x14ac:dyDescent="0.25">
      <c r="B7" s="17" t="s">
        <v>35</v>
      </c>
      <c r="C7" s="3"/>
      <c r="D7" s="3"/>
      <c r="E7" s="3"/>
      <c r="F7" s="3"/>
      <c r="G7" s="3"/>
      <c r="H7" s="3"/>
      <c r="I7" s="3"/>
      <c r="J7" s="3"/>
      <c r="K7" s="3"/>
      <c r="L7" s="3"/>
      <c r="M7" s="3"/>
      <c r="N7" s="3"/>
      <c r="O7" s="3"/>
      <c r="P7" s="3"/>
      <c r="Q7" s="3"/>
      <c r="R7" s="3"/>
      <c r="S7" s="3"/>
      <c r="T7" s="3"/>
      <c r="U7" s="3"/>
      <c r="V7" s="3"/>
      <c r="W7" s="3"/>
      <c r="X7" s="3"/>
      <c r="Y7" s="3"/>
      <c r="Z7" s="3"/>
      <c r="AA7" s="3"/>
      <c r="AB7" s="3" t="s">
        <v>65</v>
      </c>
      <c r="AC7" s="3" t="s">
        <v>65</v>
      </c>
      <c r="AD7" s="3" t="s">
        <v>65</v>
      </c>
      <c r="AE7" s="3"/>
      <c r="AF7" s="3"/>
      <c r="AG7" s="3"/>
      <c r="AH7" s="10">
        <f>COUNTA(December[[#This Row],[1]:[31]])</f>
        <v>3</v>
      </c>
    </row>
    <row r="8" spans="2:34" ht="30" customHeight="1" x14ac:dyDescent="0.25">
      <c r="B8" s="17" t="s">
        <v>38</v>
      </c>
      <c r="C8" s="3"/>
      <c r="D8" s="3" t="s">
        <v>66</v>
      </c>
      <c r="E8" s="3"/>
      <c r="F8" s="3"/>
      <c r="G8" s="3"/>
      <c r="H8" s="3"/>
      <c r="I8" s="3"/>
      <c r="J8" s="3"/>
      <c r="K8" s="3"/>
      <c r="L8" s="3"/>
      <c r="M8" s="3"/>
      <c r="N8" s="3"/>
      <c r="O8" s="3"/>
      <c r="P8" s="3" t="s">
        <v>67</v>
      </c>
      <c r="Q8" s="3" t="s">
        <v>67</v>
      </c>
      <c r="R8" s="3"/>
      <c r="S8" s="3"/>
      <c r="T8" s="3"/>
      <c r="U8" s="3"/>
      <c r="V8" s="3"/>
      <c r="W8" s="3"/>
      <c r="X8" s="3"/>
      <c r="Y8" s="3"/>
      <c r="Z8" s="3"/>
      <c r="AA8" s="3"/>
      <c r="AB8" s="3"/>
      <c r="AC8" s="3"/>
      <c r="AD8" s="3"/>
      <c r="AE8" s="3"/>
      <c r="AF8" s="3"/>
      <c r="AG8" s="3"/>
      <c r="AH8" s="10">
        <f>COUNTA(December[[#This Row],[1]:[31]])</f>
        <v>3</v>
      </c>
    </row>
    <row r="9" spans="2:34" ht="30" customHeight="1" x14ac:dyDescent="0.25">
      <c r="B9" s="17" t="s">
        <v>49</v>
      </c>
      <c r="C9" s="3" t="s">
        <v>66</v>
      </c>
      <c r="D9" s="3"/>
      <c r="E9" s="3"/>
      <c r="F9" s="3"/>
      <c r="G9" s="3"/>
      <c r="H9" s="3"/>
      <c r="I9" s="3"/>
      <c r="J9" s="3"/>
      <c r="K9" s="3"/>
      <c r="L9" s="3"/>
      <c r="M9" s="3"/>
      <c r="N9" s="3"/>
      <c r="O9" s="3"/>
      <c r="P9" s="3"/>
      <c r="Q9" s="3"/>
      <c r="R9" s="3"/>
      <c r="S9" s="3"/>
      <c r="T9" s="3"/>
      <c r="U9" s="3"/>
      <c r="V9" s="3"/>
      <c r="W9" s="3"/>
      <c r="X9" s="3"/>
      <c r="Y9" s="3"/>
      <c r="Z9" s="3"/>
      <c r="AA9" s="3"/>
      <c r="AB9" s="3"/>
      <c r="AC9" s="3" t="s">
        <v>66</v>
      </c>
      <c r="AD9" s="3" t="s">
        <v>66</v>
      </c>
      <c r="AE9" s="3" t="s">
        <v>66</v>
      </c>
      <c r="AF9" s="3" t="s">
        <v>66</v>
      </c>
      <c r="AG9" s="3"/>
      <c r="AH9" s="10">
        <f>COUNTA(December[[#This Row],[1]:[31]])</f>
        <v>5</v>
      </c>
    </row>
    <row r="10" spans="2:34" ht="30" customHeight="1" x14ac:dyDescent="0.25">
      <c r="B10" s="17" t="s">
        <v>50</v>
      </c>
      <c r="C10" s="3"/>
      <c r="D10" s="3"/>
      <c r="E10" s="3" t="s">
        <v>66</v>
      </c>
      <c r="F10" s="3"/>
      <c r="G10" s="3"/>
      <c r="H10" s="3"/>
      <c r="I10" s="3"/>
      <c r="J10" s="3"/>
      <c r="K10" s="3"/>
      <c r="L10" s="3" t="s">
        <v>67</v>
      </c>
      <c r="M10" s="3"/>
      <c r="N10" s="3" t="s">
        <v>65</v>
      </c>
      <c r="O10" s="3" t="s">
        <v>65</v>
      </c>
      <c r="P10" s="3"/>
      <c r="Q10" s="3"/>
      <c r="R10" s="3"/>
      <c r="S10" s="3"/>
      <c r="T10" s="3"/>
      <c r="U10" s="3" t="s">
        <v>65</v>
      </c>
      <c r="V10" s="3"/>
      <c r="W10" s="3"/>
      <c r="X10" s="3"/>
      <c r="Y10" s="3"/>
      <c r="Z10" s="3"/>
      <c r="AA10" s="3"/>
      <c r="AB10" s="3"/>
      <c r="AC10" s="3"/>
      <c r="AD10" s="3"/>
      <c r="AE10" s="3" t="s">
        <v>66</v>
      </c>
      <c r="AF10" s="3"/>
      <c r="AG10" s="3"/>
      <c r="AH10" s="10">
        <f>COUNTA(December[[#This Row],[1]:[31]])</f>
        <v>6</v>
      </c>
    </row>
    <row r="11" spans="2:34" ht="30" customHeight="1" x14ac:dyDescent="0.25">
      <c r="B11" s="17" t="s">
        <v>51</v>
      </c>
      <c r="C11" s="3"/>
      <c r="D11" s="3"/>
      <c r="E11" s="3" t="s">
        <v>67</v>
      </c>
      <c r="F11" s="3"/>
      <c r="G11" s="3"/>
      <c r="H11" s="3"/>
      <c r="I11" s="3" t="s">
        <v>66</v>
      </c>
      <c r="J11" s="3"/>
      <c r="K11" s="3"/>
      <c r="L11" s="3"/>
      <c r="M11" s="3"/>
      <c r="N11" s="3"/>
      <c r="O11" s="3"/>
      <c r="P11" s="3"/>
      <c r="Q11" s="3"/>
      <c r="R11" s="3"/>
      <c r="S11" s="3"/>
      <c r="T11" s="3"/>
      <c r="U11" s="3"/>
      <c r="V11" s="3"/>
      <c r="W11" s="3"/>
      <c r="X11" s="3"/>
      <c r="Y11" s="3" t="s">
        <v>67</v>
      </c>
      <c r="Z11" s="3" t="s">
        <v>67</v>
      </c>
      <c r="AA11" s="3"/>
      <c r="AB11" s="3"/>
      <c r="AC11" s="3"/>
      <c r="AD11" s="3"/>
      <c r="AE11" s="3"/>
      <c r="AF11" s="3"/>
      <c r="AG11" s="3" t="s">
        <v>67</v>
      </c>
      <c r="AH11" s="10">
        <f>COUNTA(December[[#This Row],[1]:[31]])</f>
        <v>5</v>
      </c>
    </row>
    <row r="12" spans="2:34" ht="30" customHeight="1" x14ac:dyDescent="0.25">
      <c r="B12" s="21" t="str">
        <f>MonthName&amp;" Total"</f>
        <v>December Total</v>
      </c>
      <c r="C12" s="13">
        <f>SUBTOTAL(103,December[1])</f>
        <v>1</v>
      </c>
      <c r="D12" s="13">
        <f>SUBTOTAL(103,December[2])</f>
        <v>1</v>
      </c>
      <c r="E12" s="13">
        <f>SUBTOTAL(103,December[3])</f>
        <v>2</v>
      </c>
      <c r="F12" s="13">
        <f>SUBTOTAL(103,December[4])</f>
        <v>0</v>
      </c>
      <c r="G12" s="13">
        <f>SUBTOTAL(103,December[5])</f>
        <v>0</v>
      </c>
      <c r="H12" s="13">
        <f>SUBTOTAL(103,December[6])</f>
        <v>0</v>
      </c>
      <c r="I12" s="13">
        <f>SUBTOTAL(103,December[7])</f>
        <v>1</v>
      </c>
      <c r="J12" s="13">
        <f>SUBTOTAL(103,December[8])</f>
        <v>0</v>
      </c>
      <c r="K12" s="13">
        <f>SUBTOTAL(103,December[9])</f>
        <v>0</v>
      </c>
      <c r="L12" s="13">
        <f>SUBTOTAL(103,December[10])</f>
        <v>1</v>
      </c>
      <c r="M12" s="13">
        <f>SUBTOTAL(103,December[11])</f>
        <v>0</v>
      </c>
      <c r="N12" s="13">
        <f>SUBTOTAL(103,December[12])</f>
        <v>1</v>
      </c>
      <c r="O12" s="13">
        <f>SUBTOTAL(103,December[13])</f>
        <v>1</v>
      </c>
      <c r="P12" s="13">
        <f>SUBTOTAL(103,December[14])</f>
        <v>1</v>
      </c>
      <c r="Q12" s="13">
        <f>SUBTOTAL(103,December[15])</f>
        <v>1</v>
      </c>
      <c r="R12" s="13">
        <f>SUBTOTAL(103,December[16])</f>
        <v>0</v>
      </c>
      <c r="S12" s="13">
        <f>SUBTOTAL(103,December[17])</f>
        <v>0</v>
      </c>
      <c r="T12" s="13">
        <f>SUBTOTAL(103,December[18])</f>
        <v>0</v>
      </c>
      <c r="U12" s="13">
        <f>SUBTOTAL(103,December[19])</f>
        <v>1</v>
      </c>
      <c r="V12" s="13">
        <f>SUBTOTAL(103,December[20])</f>
        <v>0</v>
      </c>
      <c r="W12" s="13">
        <f>SUBTOTAL(103,December[21])</f>
        <v>0</v>
      </c>
      <c r="X12" s="13">
        <f>SUBTOTAL(103,December[22])</f>
        <v>0</v>
      </c>
      <c r="Y12" s="13">
        <f>SUBTOTAL(103,December[23])</f>
        <v>1</v>
      </c>
      <c r="Z12" s="13">
        <f>SUBTOTAL(103,December[24])</f>
        <v>1</v>
      </c>
      <c r="AA12" s="13">
        <f>SUBTOTAL(103,December[25])</f>
        <v>0</v>
      </c>
      <c r="AB12" s="13">
        <f>SUBTOTAL(103,December[26])</f>
        <v>1</v>
      </c>
      <c r="AC12" s="13">
        <f>SUBTOTAL(103,December[27])</f>
        <v>2</v>
      </c>
      <c r="AD12" s="13">
        <f>SUBTOTAL(103,December[28])</f>
        <v>2</v>
      </c>
      <c r="AE12" s="13">
        <f>SUBTOTAL(103,December[29])</f>
        <v>2</v>
      </c>
      <c r="AF12" s="13">
        <f>SUBTOTAL(109,December[30])</f>
        <v>0</v>
      </c>
      <c r="AG12" s="13">
        <f>SUBTOTAL(109,December[31])</f>
        <v>0</v>
      </c>
      <c r="AH12" s="13">
        <f>SUBTOTAL(109,December[Total Days])</f>
        <v>22</v>
      </c>
    </row>
  </sheetData>
  <mergeCells count="6">
    <mergeCell ref="C4:AG4"/>
    <mergeCell ref="D2:F2"/>
    <mergeCell ref="H2:J2"/>
    <mergeCell ref="L2:M2"/>
    <mergeCell ref="O2:Q2"/>
    <mergeCell ref="S2:U2"/>
  </mergeCells>
  <conditionalFormatting sqref="C7:AG11">
    <cfRule type="expression" priority="1" stopIfTrue="1">
      <formula>C7=""</formula>
    </cfRule>
  </conditionalFormatting>
  <conditionalFormatting sqref="C7:AG11">
    <cfRule type="expression" dxfId="73" priority="2" stopIfTrue="1">
      <formula>C7=KeyCustom2</formula>
    </cfRule>
    <cfRule type="expression" dxfId="72" priority="3" stopIfTrue="1">
      <formula>C7=KeyCustom1</formula>
    </cfRule>
    <cfRule type="expression" dxfId="71" priority="4" stopIfTrue="1">
      <formula>C7=KeySick</formula>
    </cfRule>
    <cfRule type="expression" dxfId="70" priority="5" stopIfTrue="1">
      <formula>C7=KeyPersonal</formula>
    </cfRule>
    <cfRule type="expression" dxfId="69" priority="6" stopIfTrue="1">
      <formula>C7=KeyVacation</formula>
    </cfRule>
  </conditionalFormatting>
  <conditionalFormatting sqref="AH7:AH11">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4">
    <dataValidation allowBlank="1" showInputMessage="1" showErrorMessage="1" prompt="Automatically updated year based on year entered in January worksheet" sqref="AH4"/>
    <dataValidation allowBlank="1" showInputMessage="1" showErrorMessage="1" prompt="Automatically calculates total number of days an employee was absent this month in this column" sqref="AH6"/>
    <dataValidation allowBlank="1" showInputMessage="1" showErrorMessage="1" prompt="Track December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dataValidation allowBlank="1" showInputMessage="1" showErrorMessage="1" prompt="Automatically updated title is in this cell. To modify the title, update B1 on January worksheet" sqref="B1"/>
    <dataValidation allowBlank="1" showInputMessage="1" showErrorMessage="1" prompt="The letter &quot;V&quot; indicates absence due to vacation" sqref="C2"/>
    <dataValidation allowBlank="1" showInputMessage="1" showErrorMessage="1" prompt="The letter &quot;P&quot; indicates absence due to personal reasons" sqref="G2"/>
    <dataValidation allowBlank="1" showInputMessage="1" showErrorMessage="1" prompt="The letter &quot;S&quot; indicates absence due to illness" sqref="K2"/>
    <dataValidation allowBlank="1" showInputMessage="1" showErrorMessage="1" prompt="Enter a letter and customize the label at right to add another key item" sqref="N2 R2"/>
    <dataValidation allowBlank="1" showInputMessage="1" showErrorMessage="1" prompt="Enter a label to describe the custom key at left" sqref="O2:Q2 S2:U2"/>
    <dataValidation allowBlank="1" showInputMessage="1" showErrorMessage="1" prompt="This row defines the keys used in the table: cell C2 is Vacation, G2 is Personal, &amp; K2 is Sick leave. Cells N2 &amp; R2 are customizable " sqref="B2"/>
    <dataValidation allowBlank="1" showInputMessage="1" showErrorMessage="1" prompt="Month name for this absence schedule is in this cell. Absence totals for this month are in last cell of the table. Select employee names in table column B" sqref="B4"/>
    <dataValidation allowBlank="1" showInputMessage="1" showErrorMessage="1" prompt="Weekdays in this row are automatically updated for the month according to the year in AH4. Each day of the month is a column to note an employee's absence and absence type" sqref="C5"/>
    <dataValidation allowBlank="1" showInputMessage="1" showErrorMessage="1" prompt="Days of the month in this row are automatically generated. Enter an employee's absence and absence type in each column for each day of the month. Blank means no absence" sqref="C6"/>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AH7:AH11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Names'!$B$4:$B$8</xm:f>
          </x14:formula1>
          <xm:sqref>B7:B11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B8"/>
  <sheetViews>
    <sheetView showGridLines="0" workbookViewId="0"/>
  </sheetViews>
  <sheetFormatPr defaultRowHeight="30" customHeight="1" x14ac:dyDescent="0.25"/>
  <cols>
    <col min="1" max="1" width="2.7109375" customWidth="1"/>
    <col min="2" max="2" width="30.7109375" customWidth="1"/>
    <col min="3" max="3" width="2.7109375" customWidth="1"/>
  </cols>
  <sheetData>
    <row r="1" spans="2:2" ht="50.1" customHeight="1" x14ac:dyDescent="0.25">
      <c r="B1" s="22" t="s">
        <v>64</v>
      </c>
    </row>
    <row r="2" spans="2:2" ht="15" customHeight="1" x14ac:dyDescent="0.25"/>
    <row r="3" spans="2:2" ht="30" customHeight="1" x14ac:dyDescent="0.25">
      <c r="B3" t="s">
        <v>64</v>
      </c>
    </row>
    <row r="4" spans="2:2" ht="30" customHeight="1" x14ac:dyDescent="0.25">
      <c r="B4" s="1" t="s">
        <v>35</v>
      </c>
    </row>
    <row r="5" spans="2:2" ht="30" customHeight="1" x14ac:dyDescent="0.25">
      <c r="B5" s="1" t="s">
        <v>38</v>
      </c>
    </row>
    <row r="6" spans="2:2" ht="30" customHeight="1" x14ac:dyDescent="0.25">
      <c r="B6" s="1" t="s">
        <v>49</v>
      </c>
    </row>
    <row r="7" spans="2:2" ht="30" customHeight="1" x14ac:dyDescent="0.25">
      <c r="B7" s="1" t="s">
        <v>50</v>
      </c>
    </row>
    <row r="8" spans="2:2" ht="30" customHeight="1" x14ac:dyDescent="0.25">
      <c r="B8" s="1" t="s">
        <v>51</v>
      </c>
    </row>
  </sheetData>
  <dataValidations count="3">
    <dataValidation allowBlank="1" showInputMessage="1" showErrorMessage="1" prompt="Employee names title" sqref="B1"/>
    <dataValidation allowBlank="1" showInputMessage="1" showErrorMessage="1" prompt="Enter employee names in the employee name table in this worksheet. These names are used as options in Column B of each month's absence table" sqref="A1"/>
    <dataValidation allowBlank="1" showInputMessage="1" showErrorMessage="1" prompt="Enter employee names in this column" sqref="B3"/>
  </dataValidations>
  <pageMargins left="0.7" right="0.7" top="0.75" bottom="0.75" header="0.3" footer="0.3"/>
  <pageSetup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50</vt:i4>
      </vt:variant>
    </vt:vector>
  </HeadingPairs>
  <TitlesOfParts>
    <vt:vector size="63" baseType="lpstr">
      <vt:lpstr>January</vt:lpstr>
      <vt:lpstr>February</vt:lpstr>
      <vt:lpstr>March</vt:lpstr>
      <vt:lpstr>April</vt:lpstr>
      <vt:lpstr>May</vt:lpstr>
      <vt:lpstr>June</vt:lpstr>
      <vt:lpstr>July</vt:lpstr>
      <vt:lpstr>August</vt:lpstr>
      <vt:lpstr>September</vt:lpstr>
      <vt:lpstr>October</vt:lpstr>
      <vt:lpstr>November</vt:lpstr>
      <vt:lpstr>December</vt:lpstr>
      <vt:lpstr>Employee Names</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August!MonthName</vt:lpstr>
      <vt:lpstr>December!MonthName</vt:lpstr>
      <vt:lpstr>February!MonthName</vt:lpstr>
      <vt:lpstr>January!MonthName</vt:lpstr>
      <vt:lpstr>July!MonthName</vt:lpstr>
      <vt:lpstr>June!MonthName</vt:lpstr>
      <vt:lpstr>March!MonthName</vt:lpstr>
      <vt:lpstr>May!MonthName</vt:lpstr>
      <vt:lpstr>November!MonthName</vt:lpstr>
      <vt:lpstr>October!MonthName</vt:lpstr>
      <vt:lpstr>September!MonthName</vt:lpstr>
      <vt:lpstr>April!Print_Titles</vt:lpstr>
      <vt:lpstr>August!Print_Titles</vt:lpstr>
      <vt:lpstr>December!Print_Titles</vt:lpstr>
      <vt:lpstr>February!Print_Titles</vt:lpstr>
      <vt:lpstr>January!Print_Titles</vt:lpstr>
      <vt:lpstr>July!Print_Titles</vt:lpstr>
      <vt:lpstr>June!Print_Titles</vt:lpstr>
      <vt:lpstr>March!Print_Titles</vt:lpstr>
      <vt:lpstr>May!Print_Titles</vt:lpstr>
      <vt:lpstr>November!Print_Titles</vt:lpstr>
      <vt:lpstr>October!Print_Titles</vt:lpstr>
      <vt:lpstr>September!Print_Titles</vt:lpstr>
      <vt:lpstr>Title1</vt:lpstr>
      <vt:lpstr>Title10</vt:lpstr>
      <vt:lpstr>Title11</vt:lpstr>
      <vt:lpstr>Title12</vt:lpstr>
      <vt:lpstr>Title2</vt:lpstr>
      <vt:lpstr>Title3</vt:lpstr>
      <vt:lpstr>Title4</vt:lpstr>
      <vt:lpstr>Title5</vt:lpstr>
      <vt:lpstr>Title6</vt:lpstr>
      <vt:lpstr>Title7</vt:lpstr>
      <vt:lpstr>Title8</vt:lpstr>
      <vt:lpstr>Title9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cp:lastPrinted>2025-09-08T15:34:48Z</cp:lastPrinted>
  <dcterms:created xsi:type="dcterms:W3CDTF">2016-12-06T04:52:27Z</dcterms:created>
  <dcterms:modified xsi:type="dcterms:W3CDTF">2026-02-28T08:47:00Z</dcterms:modified>
</cp:coreProperties>
</file>