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minimized="1" xWindow="0" yWindow="0" windowWidth="20490" windowHeight="7755"/>
  </bookViews>
  <sheets>
    <sheet name="Project(Index-Match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  <c r="B43" i="1"/>
  <c r="B39" i="1"/>
  <c r="B37" i="1"/>
</calcChain>
</file>

<file path=xl/sharedStrings.xml><?xml version="1.0" encoding="utf-8"?>
<sst xmlns="http://schemas.openxmlformats.org/spreadsheetml/2006/main" count="47" uniqueCount="45">
  <si>
    <t>Product Name</t>
  </si>
  <si>
    <t>Rate per Kg</t>
  </si>
  <si>
    <t>2 Kg</t>
  </si>
  <si>
    <t>6 Kg</t>
  </si>
  <si>
    <t>10 Kg</t>
  </si>
  <si>
    <t>15 Kg</t>
  </si>
  <si>
    <t>20 Kg</t>
  </si>
  <si>
    <t>25 Kg</t>
  </si>
  <si>
    <t>30 Kg</t>
  </si>
  <si>
    <t>Rice Premium</t>
  </si>
  <si>
    <t>Sugar Refined</t>
  </si>
  <si>
    <t>Wheat Flour</t>
  </si>
  <si>
    <t>Toor Dal</t>
  </si>
  <si>
    <t>Urad Dal</t>
  </si>
  <si>
    <t>Salt Iodized</t>
  </si>
  <si>
    <t>Cooking Oil</t>
  </si>
  <si>
    <t>Tea Powder</t>
  </si>
  <si>
    <t>Coffee Powder</t>
  </si>
  <si>
    <t>Besan Flour</t>
  </si>
  <si>
    <t>Maida Flour</t>
  </si>
  <si>
    <t>Rava (Sooji)</t>
  </si>
  <si>
    <t>Green Gram</t>
  </si>
  <si>
    <t>Black Gram</t>
  </si>
  <si>
    <t>Chana Dal</t>
  </si>
  <si>
    <t>Moong Dal</t>
  </si>
  <si>
    <t>Groundnut Oil</t>
  </si>
  <si>
    <t>Sunflower Oil</t>
  </si>
  <si>
    <t>Palm Oil</t>
  </si>
  <si>
    <t>Mustard Oil</t>
  </si>
  <si>
    <t>Basmati Rice</t>
  </si>
  <si>
    <t>Brown Rice</t>
  </si>
  <si>
    <t>Oats</t>
  </si>
  <si>
    <t>Corn Flour</t>
  </si>
  <si>
    <t>Poha</t>
  </si>
  <si>
    <t>Vermicelli</t>
  </si>
  <si>
    <t>Jaggery</t>
  </si>
  <si>
    <t>Honey</t>
  </si>
  <si>
    <t>Cashew Nuts</t>
  </si>
  <si>
    <t>Almonds</t>
  </si>
  <si>
    <r>
      <t xml:space="preserve">                                            </t>
    </r>
    <r>
      <rPr>
        <sz val="16"/>
        <color theme="1"/>
        <rFont val="Calibri"/>
        <family val="2"/>
        <scheme val="minor"/>
      </rPr>
      <t>Product Price Finder</t>
    </r>
  </si>
  <si>
    <r>
      <t xml:space="preserve">                                                           </t>
    </r>
    <r>
      <rPr>
        <sz val="16"/>
        <color theme="1"/>
        <rFont val="Calibri"/>
        <family val="2"/>
        <scheme val="minor"/>
      </rPr>
      <t xml:space="preserve"> Index Function</t>
    </r>
  </si>
  <si>
    <r>
      <t xml:space="preserve">                                                           </t>
    </r>
    <r>
      <rPr>
        <sz val="18"/>
        <color theme="1"/>
        <rFont val="Calibri"/>
        <family val="2"/>
        <scheme val="minor"/>
      </rPr>
      <t xml:space="preserve">   Honey</t>
    </r>
  </si>
  <si>
    <t>Match</t>
  </si>
  <si>
    <t>Cooking oil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</si>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</sst>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5" borderId="0" xfId="0" applyFill="1"/>
    <xf numFmtId="0" fontId="1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8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3">
    <dxf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I32" totalsRowShown="0" headerRowDxfId="12" dataDxfId="11">
  <autoFilter ref="B2:I32"/>
  <tableColumns count="8">
    <tableColumn id="1" name="Rate per Kg" dataDxfId="10"/>
    <tableColumn id="2" name="2 Kg" dataDxfId="9"/>
    <tableColumn id="3" name="6 Kg" dataDxfId="8"/>
    <tableColumn id="4" name="10 Kg" dataDxfId="7"/>
    <tableColumn id="5" name="15 Kg" dataDxfId="6"/>
    <tableColumn id="6" name="20 Kg" dataDxfId="5"/>
    <tableColumn id="7" name="25 Kg" dataDxfId="4"/>
    <tableColumn id="8" name="30 Kg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A32" totalsRowShown="0" headerRowDxfId="2" dataDxfId="1">
  <autoFilter ref="A2:A32"/>
  <tableColumns count="1">
    <tableColumn id="1" name="Product Na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A2" sqref="A2:XFD2"/>
    </sheetView>
  </sheetViews>
  <sheetFormatPr defaultRowHeight="15" x14ac:dyDescent="0.25"/>
  <cols>
    <col min="1" max="1" width="85.140625" customWidth="1"/>
    <col min="2" max="2" width="18.42578125" customWidth="1"/>
    <col min="3" max="3" width="12.42578125" customWidth="1"/>
    <col min="4" max="4" width="14.140625" customWidth="1"/>
    <col min="5" max="5" width="13.7109375" customWidth="1"/>
    <col min="6" max="6" width="13.140625" customWidth="1"/>
    <col min="9" max="9" width="12.42578125" customWidth="1"/>
    <col min="11" max="11" width="14.140625" customWidth="1"/>
  </cols>
  <sheetData>
    <row r="1" spans="1:9" ht="21" x14ac:dyDescent="0.35">
      <c r="A1" s="11" t="s">
        <v>39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2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1:9" x14ac:dyDescent="0.25">
      <c r="A3" s="4" t="s">
        <v>9</v>
      </c>
      <c r="B3" s="3">
        <v>65</v>
      </c>
      <c r="C3" s="3">
        <v>130</v>
      </c>
      <c r="D3" s="3">
        <v>390</v>
      </c>
      <c r="E3" s="3">
        <v>650</v>
      </c>
      <c r="F3" s="3">
        <v>975</v>
      </c>
      <c r="G3" s="3">
        <v>1300</v>
      </c>
      <c r="H3" s="3">
        <v>1625</v>
      </c>
      <c r="I3" s="3">
        <v>1950</v>
      </c>
    </row>
    <row r="4" spans="1:9" x14ac:dyDescent="0.25">
      <c r="A4" s="4" t="s">
        <v>10</v>
      </c>
      <c r="B4" s="3">
        <v>48</v>
      </c>
      <c r="C4" s="3">
        <v>96</v>
      </c>
      <c r="D4" s="3">
        <v>288</v>
      </c>
      <c r="E4" s="3">
        <v>480</v>
      </c>
      <c r="F4" s="3">
        <v>720</v>
      </c>
      <c r="G4" s="3">
        <v>960</v>
      </c>
      <c r="H4" s="3">
        <v>1200</v>
      </c>
      <c r="I4" s="3">
        <v>1440</v>
      </c>
    </row>
    <row r="5" spans="1:9" x14ac:dyDescent="0.25">
      <c r="A5" s="4" t="s">
        <v>11</v>
      </c>
      <c r="B5" s="3">
        <v>52</v>
      </c>
      <c r="C5" s="3">
        <v>104</v>
      </c>
      <c r="D5" s="3">
        <v>312</v>
      </c>
      <c r="E5" s="3">
        <v>520</v>
      </c>
      <c r="F5" s="3">
        <v>780</v>
      </c>
      <c r="G5" s="3">
        <v>1040</v>
      </c>
      <c r="H5" s="3">
        <v>1300</v>
      </c>
      <c r="I5" s="3">
        <v>1560</v>
      </c>
    </row>
    <row r="6" spans="1:9" x14ac:dyDescent="0.25">
      <c r="A6" s="4" t="s">
        <v>12</v>
      </c>
      <c r="B6" s="3">
        <v>85</v>
      </c>
      <c r="C6" s="3">
        <v>170</v>
      </c>
      <c r="D6" s="3">
        <v>510</v>
      </c>
      <c r="E6" s="3">
        <v>850</v>
      </c>
      <c r="F6" s="3">
        <v>1275</v>
      </c>
      <c r="G6" s="3">
        <v>1700</v>
      </c>
      <c r="H6" s="3">
        <v>2125</v>
      </c>
      <c r="I6" s="3">
        <v>2550</v>
      </c>
    </row>
    <row r="7" spans="1:9" x14ac:dyDescent="0.25">
      <c r="A7" s="4" t="s">
        <v>13</v>
      </c>
      <c r="B7" s="3">
        <v>95</v>
      </c>
      <c r="C7" s="3">
        <v>190</v>
      </c>
      <c r="D7" s="3">
        <v>570</v>
      </c>
      <c r="E7" s="3">
        <v>950</v>
      </c>
      <c r="F7" s="3">
        <v>1425</v>
      </c>
      <c r="G7" s="3">
        <v>1900</v>
      </c>
      <c r="H7" s="3">
        <v>2375</v>
      </c>
      <c r="I7" s="3">
        <v>2850</v>
      </c>
    </row>
    <row r="8" spans="1:9" x14ac:dyDescent="0.25">
      <c r="A8" s="4" t="s">
        <v>14</v>
      </c>
      <c r="B8" s="3">
        <v>22</v>
      </c>
      <c r="C8" s="3">
        <v>44</v>
      </c>
      <c r="D8" s="3">
        <v>132</v>
      </c>
      <c r="E8" s="3">
        <v>220</v>
      </c>
      <c r="F8" s="3">
        <v>330</v>
      </c>
      <c r="G8" s="3">
        <v>440</v>
      </c>
      <c r="H8" s="3">
        <v>550</v>
      </c>
      <c r="I8" s="3">
        <v>660</v>
      </c>
    </row>
    <row r="9" spans="1:9" x14ac:dyDescent="0.25">
      <c r="A9" s="4" t="s">
        <v>15</v>
      </c>
      <c r="B9" s="3">
        <v>155</v>
      </c>
      <c r="C9" s="3">
        <v>310</v>
      </c>
      <c r="D9" s="3">
        <v>930</v>
      </c>
      <c r="E9" s="3">
        <v>1550</v>
      </c>
      <c r="F9" s="3">
        <v>2325</v>
      </c>
      <c r="G9" s="3">
        <v>3100</v>
      </c>
      <c r="H9" s="3">
        <v>3875</v>
      </c>
      <c r="I9" s="3">
        <v>4650</v>
      </c>
    </row>
    <row r="10" spans="1:9" x14ac:dyDescent="0.25">
      <c r="A10" s="4" t="s">
        <v>16</v>
      </c>
      <c r="B10" s="3">
        <v>210</v>
      </c>
      <c r="C10" s="3">
        <v>420</v>
      </c>
      <c r="D10" s="3">
        <v>1260</v>
      </c>
      <c r="E10" s="3">
        <v>2100</v>
      </c>
      <c r="F10" s="3">
        <v>3150</v>
      </c>
      <c r="G10" s="3">
        <v>4200</v>
      </c>
      <c r="H10" s="3">
        <v>5250</v>
      </c>
      <c r="I10" s="3">
        <v>6300</v>
      </c>
    </row>
    <row r="11" spans="1:9" x14ac:dyDescent="0.25">
      <c r="A11" s="4" t="s">
        <v>17</v>
      </c>
      <c r="B11" s="3">
        <v>260</v>
      </c>
      <c r="C11" s="3">
        <v>520</v>
      </c>
      <c r="D11" s="3">
        <v>1560</v>
      </c>
      <c r="E11" s="3">
        <v>2600</v>
      </c>
      <c r="F11" s="3">
        <v>3900</v>
      </c>
      <c r="G11" s="3">
        <v>5200</v>
      </c>
      <c r="H11" s="3">
        <v>6500</v>
      </c>
      <c r="I11" s="3">
        <v>7800</v>
      </c>
    </row>
    <row r="12" spans="1:9" x14ac:dyDescent="0.25">
      <c r="A12" s="4" t="s">
        <v>18</v>
      </c>
      <c r="B12" s="3">
        <v>72</v>
      </c>
      <c r="C12" s="3">
        <v>144</v>
      </c>
      <c r="D12" s="3">
        <v>432</v>
      </c>
      <c r="E12" s="3">
        <v>720</v>
      </c>
      <c r="F12" s="3">
        <v>1080</v>
      </c>
      <c r="G12" s="3">
        <v>1440</v>
      </c>
      <c r="H12" s="3">
        <v>1800</v>
      </c>
      <c r="I12" s="3">
        <v>2160</v>
      </c>
    </row>
    <row r="13" spans="1:9" x14ac:dyDescent="0.25">
      <c r="A13" s="4" t="s">
        <v>19</v>
      </c>
      <c r="B13" s="3">
        <v>50</v>
      </c>
      <c r="C13" s="3">
        <v>100</v>
      </c>
      <c r="D13" s="3">
        <v>300</v>
      </c>
      <c r="E13" s="3">
        <v>500</v>
      </c>
      <c r="F13" s="3">
        <v>750</v>
      </c>
      <c r="G13" s="3">
        <v>1000</v>
      </c>
      <c r="H13" s="3">
        <v>1250</v>
      </c>
      <c r="I13" s="3">
        <v>1500</v>
      </c>
    </row>
    <row r="14" spans="1:9" x14ac:dyDescent="0.25">
      <c r="A14" s="4" t="s">
        <v>20</v>
      </c>
      <c r="B14" s="3">
        <v>45</v>
      </c>
      <c r="C14" s="3">
        <v>90</v>
      </c>
      <c r="D14" s="3">
        <v>270</v>
      </c>
      <c r="E14" s="3">
        <v>450</v>
      </c>
      <c r="F14" s="3">
        <v>675</v>
      </c>
      <c r="G14" s="3">
        <v>900</v>
      </c>
      <c r="H14" s="3">
        <v>1125</v>
      </c>
      <c r="I14" s="3">
        <v>1350</v>
      </c>
    </row>
    <row r="15" spans="1:9" x14ac:dyDescent="0.25">
      <c r="A15" s="4" t="s">
        <v>21</v>
      </c>
      <c r="B15" s="3">
        <v>120</v>
      </c>
      <c r="C15" s="3">
        <v>240</v>
      </c>
      <c r="D15" s="3">
        <v>720</v>
      </c>
      <c r="E15" s="3">
        <v>1200</v>
      </c>
      <c r="F15" s="3">
        <v>1800</v>
      </c>
      <c r="G15" s="3">
        <v>2400</v>
      </c>
      <c r="H15" s="3">
        <v>3000</v>
      </c>
      <c r="I15" s="3">
        <v>3600</v>
      </c>
    </row>
    <row r="16" spans="1:9" x14ac:dyDescent="0.25">
      <c r="A16" s="4" t="s">
        <v>22</v>
      </c>
      <c r="B16" s="3">
        <v>110</v>
      </c>
      <c r="C16" s="3">
        <v>220</v>
      </c>
      <c r="D16" s="3">
        <v>660</v>
      </c>
      <c r="E16" s="3">
        <v>1100</v>
      </c>
      <c r="F16" s="3">
        <v>1650</v>
      </c>
      <c r="G16" s="3">
        <v>2200</v>
      </c>
      <c r="H16" s="3">
        <v>2750</v>
      </c>
      <c r="I16" s="3">
        <v>3300</v>
      </c>
    </row>
    <row r="17" spans="1:9" x14ac:dyDescent="0.25">
      <c r="A17" s="4" t="s">
        <v>23</v>
      </c>
      <c r="B17" s="3">
        <v>90</v>
      </c>
      <c r="C17" s="3">
        <v>180</v>
      </c>
      <c r="D17" s="3">
        <v>540</v>
      </c>
      <c r="E17" s="3">
        <v>900</v>
      </c>
      <c r="F17" s="3">
        <v>1350</v>
      </c>
      <c r="G17" s="3">
        <v>1800</v>
      </c>
      <c r="H17" s="3">
        <v>2250</v>
      </c>
      <c r="I17" s="3">
        <v>2700</v>
      </c>
    </row>
    <row r="18" spans="1:9" x14ac:dyDescent="0.25">
      <c r="A18" s="4" t="s">
        <v>24</v>
      </c>
      <c r="B18" s="3">
        <v>100</v>
      </c>
      <c r="C18" s="3">
        <v>200</v>
      </c>
      <c r="D18" s="3">
        <v>600</v>
      </c>
      <c r="E18" s="3">
        <v>1000</v>
      </c>
      <c r="F18" s="3">
        <v>1500</v>
      </c>
      <c r="G18" s="3">
        <v>2000</v>
      </c>
      <c r="H18" s="3">
        <v>2500</v>
      </c>
      <c r="I18" s="3">
        <v>3000</v>
      </c>
    </row>
    <row r="19" spans="1:9" x14ac:dyDescent="0.25">
      <c r="A19" s="4" t="s">
        <v>25</v>
      </c>
      <c r="B19" s="3">
        <v>160</v>
      </c>
      <c r="C19" s="3">
        <v>320</v>
      </c>
      <c r="D19" s="3">
        <v>960</v>
      </c>
      <c r="E19" s="3">
        <v>1600</v>
      </c>
      <c r="F19" s="3">
        <v>2400</v>
      </c>
      <c r="G19" s="3">
        <v>3200</v>
      </c>
      <c r="H19" s="3">
        <v>4000</v>
      </c>
      <c r="I19" s="3">
        <v>4800</v>
      </c>
    </row>
    <row r="20" spans="1:9" x14ac:dyDescent="0.25">
      <c r="A20" s="4" t="s">
        <v>26</v>
      </c>
      <c r="B20" s="3">
        <v>150</v>
      </c>
      <c r="C20" s="3">
        <v>300</v>
      </c>
      <c r="D20" s="3">
        <v>900</v>
      </c>
      <c r="E20" s="3">
        <v>1500</v>
      </c>
      <c r="F20" s="3">
        <v>2250</v>
      </c>
      <c r="G20" s="3">
        <v>3000</v>
      </c>
      <c r="H20" s="3">
        <v>3750</v>
      </c>
      <c r="I20" s="3">
        <v>4500</v>
      </c>
    </row>
    <row r="21" spans="1:9" x14ac:dyDescent="0.25">
      <c r="A21" s="4" t="s">
        <v>27</v>
      </c>
      <c r="B21" s="3">
        <v>140</v>
      </c>
      <c r="C21" s="3">
        <v>280</v>
      </c>
      <c r="D21" s="3">
        <v>840</v>
      </c>
      <c r="E21" s="3">
        <v>1400</v>
      </c>
      <c r="F21" s="3">
        <v>2100</v>
      </c>
      <c r="G21" s="3">
        <v>2800</v>
      </c>
      <c r="H21" s="3">
        <v>3500</v>
      </c>
      <c r="I21" s="3">
        <v>4200</v>
      </c>
    </row>
    <row r="22" spans="1:9" x14ac:dyDescent="0.25">
      <c r="A22" s="4" t="s">
        <v>28</v>
      </c>
      <c r="B22" s="3">
        <v>170</v>
      </c>
      <c r="C22" s="3">
        <v>340</v>
      </c>
      <c r="D22" s="3">
        <v>1020</v>
      </c>
      <c r="E22" s="3">
        <v>1700</v>
      </c>
      <c r="F22" s="3">
        <v>2550</v>
      </c>
      <c r="G22" s="3">
        <v>3400</v>
      </c>
      <c r="H22" s="3">
        <v>4250</v>
      </c>
      <c r="I22" s="3">
        <v>5100</v>
      </c>
    </row>
    <row r="23" spans="1:9" x14ac:dyDescent="0.25">
      <c r="A23" s="4" t="s">
        <v>29</v>
      </c>
      <c r="B23" s="3">
        <v>90</v>
      </c>
      <c r="C23" s="3">
        <v>180</v>
      </c>
      <c r="D23" s="3">
        <v>540</v>
      </c>
      <c r="E23" s="3">
        <v>900</v>
      </c>
      <c r="F23" s="3">
        <v>1350</v>
      </c>
      <c r="G23" s="3">
        <v>1800</v>
      </c>
      <c r="H23" s="3">
        <v>2250</v>
      </c>
      <c r="I23" s="3">
        <v>2700</v>
      </c>
    </row>
    <row r="24" spans="1:9" x14ac:dyDescent="0.25">
      <c r="A24" s="4" t="s">
        <v>30</v>
      </c>
      <c r="B24" s="3">
        <v>80</v>
      </c>
      <c r="C24" s="3">
        <v>160</v>
      </c>
      <c r="D24" s="3">
        <v>480</v>
      </c>
      <c r="E24" s="3">
        <v>800</v>
      </c>
      <c r="F24" s="3">
        <v>1200</v>
      </c>
      <c r="G24" s="3">
        <v>1600</v>
      </c>
      <c r="H24" s="3">
        <v>2000</v>
      </c>
      <c r="I24" s="3">
        <v>2400</v>
      </c>
    </row>
    <row r="25" spans="1:9" x14ac:dyDescent="0.25">
      <c r="A25" s="4" t="s">
        <v>31</v>
      </c>
      <c r="B25" s="3">
        <v>130</v>
      </c>
      <c r="C25" s="3">
        <v>260</v>
      </c>
      <c r="D25" s="3">
        <v>780</v>
      </c>
      <c r="E25" s="3">
        <v>1300</v>
      </c>
      <c r="F25" s="3">
        <v>1950</v>
      </c>
      <c r="G25" s="3">
        <v>2600</v>
      </c>
      <c r="H25" s="3">
        <v>3250</v>
      </c>
      <c r="I25" s="3">
        <v>3900</v>
      </c>
    </row>
    <row r="26" spans="1:9" x14ac:dyDescent="0.25">
      <c r="A26" s="4" t="s">
        <v>32</v>
      </c>
      <c r="B26" s="3">
        <v>60</v>
      </c>
      <c r="C26" s="3">
        <v>120</v>
      </c>
      <c r="D26" s="3">
        <v>360</v>
      </c>
      <c r="E26" s="3">
        <v>600</v>
      </c>
      <c r="F26" s="3">
        <v>900</v>
      </c>
      <c r="G26" s="3">
        <v>1200</v>
      </c>
      <c r="H26" s="3">
        <v>1500</v>
      </c>
      <c r="I26" s="3">
        <v>1800</v>
      </c>
    </row>
    <row r="27" spans="1:9" x14ac:dyDescent="0.25">
      <c r="A27" s="4" t="s">
        <v>33</v>
      </c>
      <c r="B27" s="3">
        <v>55</v>
      </c>
      <c r="C27" s="3">
        <v>110</v>
      </c>
      <c r="D27" s="3">
        <v>330</v>
      </c>
      <c r="E27" s="3">
        <v>550</v>
      </c>
      <c r="F27" s="3">
        <v>825</v>
      </c>
      <c r="G27" s="3">
        <v>1100</v>
      </c>
      <c r="H27" s="3">
        <v>1375</v>
      </c>
      <c r="I27" s="3">
        <v>1650</v>
      </c>
    </row>
    <row r="28" spans="1:9" x14ac:dyDescent="0.25">
      <c r="A28" s="4" t="s">
        <v>34</v>
      </c>
      <c r="B28" s="3">
        <v>75</v>
      </c>
      <c r="C28" s="3">
        <v>150</v>
      </c>
      <c r="D28" s="3">
        <v>450</v>
      </c>
      <c r="E28" s="3">
        <v>750</v>
      </c>
      <c r="F28" s="3">
        <v>1125</v>
      </c>
      <c r="G28" s="3">
        <v>1500</v>
      </c>
      <c r="H28" s="3">
        <v>1875</v>
      </c>
      <c r="I28" s="3">
        <v>2250</v>
      </c>
    </row>
    <row r="29" spans="1:9" x14ac:dyDescent="0.25">
      <c r="A29" s="4" t="s">
        <v>35</v>
      </c>
      <c r="B29" s="3">
        <v>85</v>
      </c>
      <c r="C29" s="3">
        <v>170</v>
      </c>
      <c r="D29" s="3">
        <v>510</v>
      </c>
      <c r="E29" s="3">
        <v>850</v>
      </c>
      <c r="F29" s="3">
        <v>1275</v>
      </c>
      <c r="G29" s="3">
        <v>1700</v>
      </c>
      <c r="H29" s="3">
        <v>2125</v>
      </c>
      <c r="I29" s="3">
        <v>2550</v>
      </c>
    </row>
    <row r="30" spans="1:9" x14ac:dyDescent="0.25">
      <c r="A30" s="4" t="s">
        <v>36</v>
      </c>
      <c r="B30" s="3">
        <v>300</v>
      </c>
      <c r="C30" s="3">
        <v>600</v>
      </c>
      <c r="D30" s="3">
        <v>1800</v>
      </c>
      <c r="E30" s="3">
        <v>3000</v>
      </c>
      <c r="F30" s="3">
        <v>4500</v>
      </c>
      <c r="G30" s="3">
        <v>6000</v>
      </c>
      <c r="H30" s="3">
        <v>7500</v>
      </c>
      <c r="I30" s="3">
        <v>9000</v>
      </c>
    </row>
    <row r="31" spans="1:9" x14ac:dyDescent="0.25">
      <c r="A31" s="4" t="s">
        <v>37</v>
      </c>
      <c r="B31" s="3">
        <v>900</v>
      </c>
      <c r="C31" s="3">
        <v>1800</v>
      </c>
      <c r="D31" s="3">
        <v>5400</v>
      </c>
      <c r="E31" s="3">
        <v>9000</v>
      </c>
      <c r="F31" s="3">
        <v>13500</v>
      </c>
      <c r="G31" s="3">
        <v>18000</v>
      </c>
      <c r="H31" s="3">
        <v>22500</v>
      </c>
      <c r="I31" s="3">
        <v>27000</v>
      </c>
    </row>
    <row r="32" spans="1:9" x14ac:dyDescent="0.25">
      <c r="A32" s="4" t="s">
        <v>38</v>
      </c>
      <c r="B32" s="3">
        <v>850</v>
      </c>
      <c r="C32" s="3">
        <v>1700</v>
      </c>
      <c r="D32" s="3">
        <v>5100</v>
      </c>
      <c r="E32" s="3">
        <v>8500</v>
      </c>
      <c r="F32" s="3">
        <v>12750</v>
      </c>
      <c r="G32" s="3">
        <v>17000</v>
      </c>
      <c r="H32" s="3">
        <v>21250</v>
      </c>
      <c r="I32" s="3">
        <v>25500</v>
      </c>
    </row>
    <row r="36" spans="1:2" ht="21" x14ac:dyDescent="0.35">
      <c r="A36" s="1" t="s">
        <v>40</v>
      </c>
    </row>
    <row r="37" spans="1:2" ht="23.25" x14ac:dyDescent="0.35">
      <c r="A37" s="6" t="s">
        <v>41</v>
      </c>
      <c r="B37" s="7">
        <f>INDEX(I3:I32,28)</f>
        <v>9000</v>
      </c>
    </row>
    <row r="39" spans="1:2" ht="21" x14ac:dyDescent="0.35">
      <c r="A39" s="10" t="s">
        <v>37</v>
      </c>
      <c r="B39" s="7">
        <f>INDEX(B3:I32,29,3)</f>
        <v>5400</v>
      </c>
    </row>
    <row r="40" spans="1:2" x14ac:dyDescent="0.25">
      <c r="A40" s="8"/>
    </row>
    <row r="41" spans="1:2" ht="21" x14ac:dyDescent="0.35">
      <c r="A41" s="9" t="s">
        <v>42</v>
      </c>
    </row>
    <row r="43" spans="1:2" ht="21" x14ac:dyDescent="0.35">
      <c r="A43" s="10" t="s">
        <v>43</v>
      </c>
      <c r="B43" s="7">
        <f>MATCH(A43,Table2[Product Name],0)</f>
        <v>7</v>
      </c>
    </row>
    <row r="46" spans="1:2" ht="21" x14ac:dyDescent="0.35">
      <c r="A46" s="9" t="s">
        <v>44</v>
      </c>
    </row>
    <row r="47" spans="1:2" ht="21" x14ac:dyDescent="0.35">
      <c r="A47" s="10" t="s">
        <v>20</v>
      </c>
      <c r="B47" s="7">
        <f>INDEX(Table1[25 Kg],MATCH(A47,Table2[Product Name],0))</f>
        <v>1125</v>
      </c>
    </row>
  </sheetData>
  <mergeCells count="1">
    <mergeCell ref="A1:I1"/>
  </mergeCells>
  <dataValidations count="2">
    <dataValidation type="list" allowBlank="1" showInputMessage="1" showErrorMessage="1" sqref="A47">
      <formula1>$A$3:$A$32</formula1>
    </dataValidation>
    <dataValidation type="list" allowBlank="1" showInputMessage="1" showErrorMessage="1" sqref="A49">
      <formula1>$C$2:$I$2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Project(Index-Match)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2025-12-21T06:28:30Z</dcterms:created>
  <dcterms:modified xsi:type="dcterms:W3CDTF">2026-01-24T06:28:43Z</dcterms:modified>
</cp:coreProperties>
</file>